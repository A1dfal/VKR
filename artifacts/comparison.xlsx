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411cc9761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 решений" sheetId="1" r:id="R093a7bd250424ff3"/>
    <x:sheet xmlns:r="http://schemas.openxmlformats.org/officeDocument/2006/relationships" name="Сравнение" sheetId="2" r:id="R89438e99da104483"/>
    <x:sheet xmlns:r="http://schemas.openxmlformats.org/officeDocument/2006/relationships" name="Данные и результаты" sheetId="3" r:id="Rc9a0f00905ab42d5"/>
    <x:sheet xmlns:r="http://schemas.openxmlformats.org/officeDocument/2006/relationships" name="Основания" sheetId="4" r:id="Ra337d9d43ba04792"/>
    <x:sheet xmlns:r="http://schemas.openxmlformats.org/officeDocument/2006/relationships" name="Методика" sheetId="5" r:id="Rd9d074641bc544cf"/>
    <x:sheet xmlns:r="http://schemas.openxmlformats.org/officeDocument/2006/relationships" name="Источники" sheetId="6" r:id="R227b3f4834ca4e0a"/>
    <x:sheet xmlns:r="http://schemas.openxmlformats.org/officeDocument/2006/relationships" name="Исследования" sheetId="7" r:id="R7f7a9af19a65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1"/>
      <x:color rgb="FF202B35"/>
      <x:name val="Arial"/>
    </x:font>
    <x:font>
      <x:b/>
      <x:sz val="11"/>
      <x:color rgb="FFFFFFFF"/>
      <x:name val="Arial"/>
    </x:font>
    <x:font>
      <x:b/>
      <x:sz val="16"/>
      <x:color rgb="FF243E53"/>
      <x:name val="Arial"/>
    </x:font>
    <x:font>
      <x:sz val="11"/>
      <x:color rgb="FF596675"/>
      <x:name val="Arial"/>
    </x:font>
    <x:font>
      <x:b/>
      <x:sz val="13"/>
      <x:color rgb="FF243E53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b/>
      <x:sz val="12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E53"/>
      </x:patternFill>
    </x:fill>
    <x:fill>
      <x:patternFill patternType="solid">
        <x:fgColor rgb="FFFFFFFF"/>
      </x:patternFill>
    </x:fill>
    <x:fill>
      <x:patternFill patternType="solid">
        <x:fgColor rgb="FFF1F5F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DE4EC"/>
      </x:left>
      <x:right style="thin">
        <x:color rgb="FFDDE4EC"/>
      </x:right>
      <x:top style="thin">
        <x:color rgb="FFDDE4EC"/>
      </x:top>
      <x:bottom style="thin">
        <x:color rgb="FFDDE4EC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0"/>
    </x:xf>
    <x:xf numFmtId="0" fontId="6" fillId="5" borderId="0" xfId="0" applyNumberFormat="1" applyFont="1" applyFill="1" applyBorder="1" applyAlignment="1">
      <x:alignment vertical="center" wrapText="0"/>
    </x:xf>
    <x:xf numFmtId="200" fontId="1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4">
    <x:dxf>
      <x:font>
        <x:color rgb="FF255B38"/>
      </x:font>
      <x:fill>
        <x:patternFill>
          <x:bgColor rgb="FFE9F2EC"/>
        </x:patternFill>
      </x:fill>
    </x:dxf>
    <x:dxf>
      <x:font>
        <x:color rgb="FF852E29"/>
      </x:font>
      <x:fill>
        <x:patternFill>
          <x:bgColor rgb="FFF8E6E5"/>
        </x:patternFill>
      </x:fill>
    </x:dxf>
    <x:dxf>
      <x:font>
        <x:color rgb="FF745516"/>
      </x:font>
      <x:fill>
        <x:patternFill>
          <x:bgColor rgb="FFFFF3D9"/>
        </x:patternFill>
      </x:fill>
    </x:dxf>
    <x:dxf>
      <x:font>
        <x:color rgb="FF255B38"/>
      </x:font>
      <x:fill>
        <x:patternFill>
          <x:bgColor rgb="FFE9F2EC"/>
        </x:patternFill>
      </x:fill>
    </x:dxf>
    <x:dxf>
      <x:font>
        <x:color rgb="FF852E29"/>
      </x:font>
      <x:fill>
        <x:patternFill>
          <x:bgColor rgb="FFF8E6E5"/>
        </x:patternFill>
      </x:fill>
    </x:dxf>
    <x:dxf>
      <x:font>
        <x:color rgb="FF745516"/>
      </x:font>
      <x:fill>
        <x:patternFill>
          <x:bgColor rgb="FFFFF3D9"/>
        </x:patternFill>
      </x:fill>
    </x:dxf>
    <x:dxf>
      <x:font>
        <x:color rgb="FF255B38"/>
      </x:font>
      <x:fill>
        <x:patternFill>
          <x:bgColor rgb="FFE9F2EC"/>
        </x:patternFill>
      </x:fill>
    </x:dxf>
    <x:dxf>
      <x:font>
        <x:color rgb="FF852E29"/>
      </x:font>
      <x:fill>
        <x:patternFill>
          <x:bgColor rgb="FFF8E6E5"/>
        </x:patternFill>
      </x:fill>
    </x:dxf>
    <x:dxf>
      <x:font>
        <x:color rgb="FF745516"/>
      </x:font>
      <x:fill>
        <x:patternFill>
          <x:bgColor rgb="FFFFF3D9"/>
        </x:patternFill>
      </x:fill>
    </x:dxf>
    <x:dxf>
      <x:font>
        <x:color rgb="FF255B38"/>
      </x:font>
      <x:fill>
        <x:patternFill>
          <x:bgColor rgb="FFE9F2EC"/>
        </x:patternFill>
      </x:fill>
    </x:dxf>
    <x:dxf>
      <x:font>
        <x:color rgb="FF852E29"/>
      </x:font>
      <x:fill>
        <x:patternFill>
          <x:bgColor rgb="FFF8E6E5"/>
        </x:patternFill>
      </x:fill>
    </x:dxf>
    <x:dxf>
      <x:font>
        <x:color rgb="FF745516"/>
      </x:font>
      <x:fill>
        <x:patternFill>
          <x:bgColor rgb="FFFFF3D9"/>
        </x:patternFill>
      </x:fill>
    </x:dxf>
    <x:dxf>
      <x:font>
        <x:b/>
        <x:color rgb="FF176A35"/>
      </x:font>
      <x:fill>
        <x:patternFill>
          <x:bgColor rgb="FFDDF3E4"/>
        </x:patternFill>
      </x:fill>
    </x:dxf>
    <x:dxf>
      <x:font>
        <x:b/>
        <x:color rgb="FFA52824"/>
      </x:font>
      <x:fill>
        <x:patternFill>
          <x:bgColor rgb="FFFBE1DF"/>
        </x:patternFill>
      </x:fill>
    </x:dxf>
    <x:dxf>
      <x:font>
        <x:b/>
        <x:color rgb="FF76510A"/>
      </x:font>
      <x:fill>
        <x:patternFill>
          <x:bgColor rgb="FFFFF1BF"/>
        </x:patternFill>
      </x:fill>
    </x:dxf>
    <x:dxf>
      <x:font>
        <x:b/>
        <x:color rgb="FF176A35"/>
      </x:font>
      <x:fill>
        <x:patternFill>
          <x:bgColor rgb="FFDDF3E4"/>
        </x:patternFill>
      </x:fill>
    </x:dxf>
    <x:dxf>
      <x:font>
        <x:b/>
        <x:color rgb="FFA52824"/>
      </x:font>
      <x:fill>
        <x:patternFill>
          <x:bgColor rgb="FFFBE1DF"/>
        </x:patternFill>
      </x:fill>
    </x:dxf>
    <x:dxf>
      <x:font>
        <x:b/>
        <x:color rgb="FF76510A"/>
      </x:font>
      <x:fill>
        <x:patternFill>
          <x:bgColor rgb="FFFFF1BF"/>
        </x:patternFill>
      </x:fill>
    </x:dxf>
    <x:dxf>
      <x:font>
        <x:b/>
        <x:color rgb="FF176A35"/>
      </x:font>
      <x:fill>
        <x:patternFill>
          <x:bgColor rgb="FFDDF3E4"/>
        </x:patternFill>
      </x:fill>
    </x:dxf>
    <x:dxf>
      <x:font>
        <x:b/>
        <x:color rgb="FFA52824"/>
      </x:font>
      <x:fill>
        <x:patternFill>
          <x:bgColor rgb="FFFBE1DF"/>
        </x:patternFill>
      </x:fill>
    </x:dxf>
    <x:dxf>
      <x:font>
        <x:b/>
        <x:color rgb="FF76510A"/>
      </x:font>
      <x:fill>
        <x:patternFill>
          <x:bgColor rgb="FFFFF1BF"/>
        </x:patternFill>
      </x:fill>
    </x:dxf>
    <x:dxf>
      <x:font>
        <x:b/>
        <x:color rgb="FF176A35"/>
      </x:font>
      <x:fill>
        <x:patternFill>
          <x:bgColor rgb="FFDDF3E4"/>
        </x:patternFill>
      </x:fill>
    </x:dxf>
    <x:dxf>
      <x:font>
        <x:b/>
        <x:color rgb="FFA52824"/>
      </x:font>
      <x:fill>
        <x:patternFill>
          <x:bgColor rgb="FFFBE1DF"/>
        </x:patternFill>
      </x:fill>
    </x:dxf>
    <x:dxf>
      <x:font>
        <x:b/>
        <x:color rgb="FF76510A"/>
      </x:font>
      <x:fill>
        <x:patternFill>
          <x:bgColor rgb="FFFFF1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b69df834746d3" /><Relationship Type="http://schemas.openxmlformats.org/officeDocument/2006/relationships/theme" Target="/xl/theme/theme1.xml" Id="Rdc82bd2c57564bd4" /><Relationship Type="http://schemas.openxmlformats.org/officeDocument/2006/relationships/sharedStrings" Target="/xl/sharedStrings.xml" Id="Rda571605f92f4ef2" /><Relationship Type="http://schemas.openxmlformats.org/officeDocument/2006/relationships/worksheet" Target="/xl/worksheets/sheet1.xml" Id="R093a7bd250424ff3" /><Relationship Type="http://schemas.openxmlformats.org/officeDocument/2006/relationships/worksheet" Target="/xl/worksheets/sheet2.xml" Id="R89438e99da104483" /><Relationship Type="http://schemas.openxmlformats.org/officeDocument/2006/relationships/worksheet" Target="/xl/worksheets/sheet3.xml" Id="Rc9a0f00905ab42d5" /><Relationship Type="http://schemas.openxmlformats.org/officeDocument/2006/relationships/worksheet" Target="/xl/worksheets/sheet4.xml" Id="Ra337d9d43ba04792" /><Relationship Type="http://schemas.openxmlformats.org/officeDocument/2006/relationships/worksheet" Target="/xl/worksheets/sheet5.xml" Id="Rd9d074641bc544cf" /><Relationship Type="http://schemas.openxmlformats.org/officeDocument/2006/relationships/worksheet" Target="/xl/worksheets/sheet6.xml" Id="R227b3f4834ca4e0a" /><Relationship Type="http://schemas.openxmlformats.org/officeDocument/2006/relationships/worksheet" Target="/xl/worksheets/sheet7.xml" Id="R7f7a9af19a6541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.440000534057617" hidden="0" customWidth="1"/>
    <x:col min="2" max="2" width="26.670000076293945" hidden="0" customWidth="1"/>
    <x:col min="3" max="3" width="34.439998626708984" hidden="0" customWidth="1"/>
    <x:col min="4" max="4" width="36.66999816894531" hidden="0" customWidth="1"/>
    <x:col min="5" max="5" width="41.11000061035156" hidden="0" customWidth="1"/>
    <x:col min="6" max="6" width="13.329999923706055" hidden="0" customWidth="1"/>
  </x:cols>
  <x:sheetData>
    <x:row r="1" ht="42" customHeight="1">
      <x:c r="A1" s="22" t="str">
        <x:v>Решение</x:v>
      </x:c>
      <x:c r="B1" s="22" t="str">
        <x:v>Категория</x:v>
      </x:c>
      <x:c r="C1" s="22" t="str">
        <x:v>Назначение</x:v>
      </x:c>
      <x:c r="D1" s="22" t="str">
        <x:v>Границы выбранного объекта</x:v>
      </x:c>
      <x:c r="E1" s="22" t="str">
        <x:v>Значение для задачи ВКР</x:v>
      </x:c>
      <x:c r="F1" s="22" t="str">
        <x:v>Источники</x:v>
      </x:c>
    </x:row>
    <x:row r="2" ht="88" customHeight="1">
      <x:c r="A2" s="21" t="str">
        <x:v>CodeScoring SCA + OSA</x:v>
      </x:c>
      <x:c r="B2" s="21" t="str">
        <x:v>Композиционный анализ и контроль получения компонентов</x:v>
      </x:c>
      <x:c r="C2" s="21" t="str">
        <x:v>Выявить проблемы сторонних компонентов и применить политики при их использовании.</x:v>
      </x:c>
      <x:c r="D2" s="21" t="str">
        <x:v>Только модули SCA и OSA; TQI и Secrets не включены.</x:v>
      </x:c>
      <x:c r="E2" s="21" t="str">
        <x:v>Проверить конкретную зависимость и условия её допуска; связать техническую находку с используемой версией.</x:v>
      </x:c>
      <x:c r="F2" s="21" t="str">
        <x:v>CS1; CS4</x:v>
      </x:c>
    </x:row>
    <x:row r="3" ht="88" customHeight="1">
      <x:c r="A3" s="21" t="str">
        <x:v>CodeScoring TQI</x:v>
      </x:c>
      <x:c r="B3" s="21" t="str">
        <x:v>Аналитика истории разработки</x:v>
      </x:c>
      <x:c r="C3" s="21" t="str">
        <x:v>Изучить распределение вкладов, динамику изменений и метрики кода.</x:v>
      </x:c>
      <x:c r="D3" s="21" t="str">
        <x:v>Только модуль TQI и документированный CSV-экспорт; функции SCA/OSA не перенесены.</x:v>
      </x:c>
      <x:c r="E3" s="21" t="str">
        <x:v>Выделить изменения в участии и участки истории, которые требуют содержательной проверки.</x:v>
      </x:c>
      <x:c r="F3" s="21" t="str">
        <x:v>CS2; CS3</x:v>
      </x:c>
    </x:row>
    <x:row r="4" ht="88" customHeight="1">
      <x:c r="A4" s="21" t="str">
        <x:v>Snyk Open Source</x:v>
      </x:c>
      <x:c r="B4" s="21" t="str">
        <x:v>Композиционный анализ зависимостей</x:v>
      </x:c>
      <x:c r="C4" s="21" t="str">
        <x:v>Находить и исправлять известные проблемы открытых библиотек.</x:v>
      </x:c>
      <x:c r="D4" s="21" t="str">
        <x:v>SCA-модуль и связанная команда SBOM; Snyk Code не включён.</x:v>
      </x:c>
      <x:c r="E4" s="21" t="str">
        <x:v>Определить затронутую зависимость и проверить возможность перехода на исправленную версию.</x:v>
      </x:c>
      <x:c r="F4" s="21" t="str">
        <x:v>SN1; SN3; SN4</x:v>
      </x:c>
    </x:row>
    <x:row r="5" ht="88" customHeight="1">
      <x:c r="A5" s="21" t="str">
        <x:v>Sonatype Lifecycle</x:v>
      </x:c>
      <x:c r="B5" s="21" t="str">
        <x:v>Контроль политик для компонентов</x:v>
      </x:c>
      <x:c r="C5" s="21" t="str">
        <x:v>Контролировать риски компонентов на этапах жизненного цикла приложения.</x:v>
      </x:c>
      <x:c r="D5" s="21" t="str">
        <x:v>Lifecycle и интеграция SCM; Repository Firewall отдельно не оценивался.</x:v>
      </x:c>
      <x:c r="E5" s="21" t="str">
        <x:v>Проверить соответствие выбранного состава правилам организации и определить необходимое исправление.</x:v>
      </x:c>
      <x:c r="F5" s="21" t="str">
        <x:v>SO1; SO2; SO3; SO4</x:v>
      </x:c>
    </x:row>
    <x:row r="6" ht="88" customHeight="1">
      <x:c r="A6" s="21" t="str">
        <x:v>Socket</x:v>
      </x:c>
      <x:c r="B6" s="21" t="str">
        <x:v>Анализ угроз в цепочке поставки пакетов</x:v>
      </x:c>
      <x:c r="C6" s="21" t="str">
        <x:v>Выявлять подозрительные свойства зависимостей и изменения при их публикации.</x:v>
      </x:c>
      <x:c r="D6" s="21" t="str">
        <x:v>Анализ пакетов, политики, Socket Fix и GitHub App; собственный код приложения вне границ.</x:v>
      </x:c>
      <x:c r="E6" s="21" t="str">
        <x:v>Выбрать пакет или выпуск для дополнительной проверки перед включением в приложение.</x:v>
      </x:c>
      <x:c r="F6" s="21" t="str">
        <x:v>SK1; SK2; SK3</x:v>
      </x:c>
    </x:row>
    <x:row r="7" ht="88" customHeight="1">
      <x:c r="A7" s="21" t="str">
        <x:v>GitHub Dependabot</x:v>
      </x:c>
      <x:c r="B7" s="21" t="str">
        <x:v>Контроль известных проблем зависимостей</x:v>
      </x:c>
      <x:c r="C7" s="21" t="str">
        <x:v>Сообщать об известных проблемах зависимостей и помогать обновлять их.</x:v>
      </x:c>
      <x:c r="D7" s="21" t="str">
        <x:v>Dependency graph, alerts, malware alerts и security updates. CodeQL, Insights и сторонние Actions не включены.</x:v>
      </x:c>
      <x:c r="E7" s="21" t="str">
        <x:v>Проверить применимость находки и необходимость обновления либо исключения конкретной версии.</x:v>
      </x:c>
      <x:c r="F7" s="21" t="str">
        <x:v>GH5; GH6; GH7</x:v>
      </x:c>
    </x:row>
    <x:row r="8" ht="88" customHeight="1">
      <x:c r="A8" s="21" t="str">
        <x:v>GitHub CodeQL</x:v>
      </x:c>
      <x:c r="B8" s="21" t="str">
        <x:v>Статический анализ исходного кода</x:v>
      </x:c>
      <x:c r="C8" s="21" t="str">
        <x:v>Находить потенциальные уязвимости и ошибки в коде проекта.</x:v>
      </x:c>
      <x:c r="D8" s="21" t="str">
        <x:v>CodeQL с code scanning на GitHub; Dependabot и dependency graph отдельно не включены.</x:v>
      </x:c>
      <x:c r="E8" s="21" t="str">
        <x:v>Проверить конкретную находку, её контекст и влияние на выбранную версию компонента.</x:v>
      </x:c>
      <x:c r="F8" s="21" t="str">
        <x:v>GH1; GH8</x:v>
      </x:c>
    </x:row>
    <x:row r="9" ht="88" customHeight="1">
      <x:c r="A9" s="21" t="str">
        <x:v>OpenSSF Scorecard</x:v>
      </x:c>
      <x:c r="B9" s="21" t="str">
        <x:v>Проверка защитных практик репозитория</x:v>
      </x:c>
      <x:c r="C9" s="21" t="str">
        <x:v>Оценивать наблюдаемые меры защиты разработки открытого проекта.</x:v>
      </x:c>
      <x:c r="D9" s="21" t="str">
        <x:v>CLI, проверки, опубликованные API и viewer; не только сокращённый публичный API.</x:v>
      </x:c>
      <x:c r="E9" s="21" t="str">
        <x:v>Установить наблюдаемый недостаток контроля и определить, какую практику нужно проверить или улучшить.</x:v>
      </x:c>
      <x:c r="F9" s="21" t="str">
        <x:v>SC1; SC2</x:v>
      </x:c>
    </x:row>
    <x:row r="10" ht="88" customHeight="1">
      <x:c r="A10" s="21" t="str">
        <x:v>OWASP Dependency-Track</x:v>
      </x:c>
      <x:c r="B10" s="21" t="str">
        <x:v>Учёт и мониторинг состава приложений</x:v>
      </x:c>
      <x:c r="C10" s="21" t="str">
        <x:v>Отслеживать риски компонентов в портфеле приложений.</x:v>
      </x:c>
      <x:c r="D10" s="21" t="str">
        <x:v>Платформа анализа состава по SBOM; внешние генераторы SBOM не считаются её встроенными сканерами.</x:v>
      </x:c>
      <x:c r="E10" s="21" t="str">
        <x:v>Понять, где используется проблемный компонент, и пересмотреть решение при появлении новых сведений.</x:v>
      </x:c>
      <x:c r="F10" s="21" t="str">
        <x:v>DT1; DT2; DT3; DT4; DT5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9"/>
      <x:c r="B1" s="19"/>
      <x:c r="C1" s="19"/>
      <x:c r="D1" s="19"/>
      <x:c r="E1" s="19"/>
    </x:row>
    <x:row r="2">
      <x:c r="A2" s="31" t="str">
        <x:v>Сравнение средств</x:v>
      </x:c>
      <x:c r="B2" s="19"/>
      <x:c r="C2" s="19"/>
      <x:c r="D2" s="19"/>
      <x:c r="E2" s="19"/>
    </x:row>
    <x:row r="3">
      <x:c r="A3" s="19" t="str">
        <x:v>Документальный обзор, 21.10.2026</x:v>
      </x:c>
      <x:c r="B3" s="19"/>
      <x:c r="C3" s="19"/>
      <x:c r="D3" s="19"/>
      <x:c r="E3" s="19"/>
    </x:row>
    <x:row r="4">
      <x:c r="A4" s="19"/>
      <x:c r="B4" s="19"/>
      <x:c r="C4" s="19"/>
      <x:c r="D4" s="19"/>
      <x:c r="E4" s="19"/>
    </x:row>
    <x:row r="5">
      <x:c r="A5" s="31" t="str">
        <x:v>Технические сведения</x:v>
      </x:c>
      <x:c r="B5" s="19"/>
      <x:c r="C5" s="19"/>
      <x:c r="D5" s="19"/>
      <x:c r="E5" s="19"/>
    </x:row>
    <x:row r="6" ht="50" customHeight="1">
      <x:c r="A6" s="22" t="str">
        <x:v>Объект</x:v>
      </x:c>
      <x:c r="B6" s="22" t="str">
        <x:v>C01
Состав компонентов</x:v>
      </x:c>
      <x:c r="C6" s="22" t="str">
        <x:v>C02
Известные уязвимости</x:v>
      </x:c>
      <x:c r="D6" s="22" t="str">
        <x:v>C03
Вредоносные пакеты</x:v>
      </x:c>
      <x:c r="E6" s="22" t="str">
        <x:v>C04
SAST исходного кода</x:v>
      </x:c>
    </x:row>
    <x:row r="7" ht="42" customHeight="1">
      <x:c r="A7" s="21" t="str">
        <x:v>CodeScoring SCA + OSA</x:v>
      </x:c>
      <x:c r="B7" s="20" t="str">
        <x:f>INDEX('Основания'!$D$2:$D$100,MATCH("CS-C01",'Основания'!$A$2:$A$100,0))</x:f>
        <x:v>Да</x:v>
      </x:c>
      <x:c r="C7" s="20" t="str">
        <x:f>INDEX('Основания'!$D$2:$D$100,MATCH("CS-C02",'Основания'!$A$2:$A$100,0))</x:f>
        <x:v>Да</x:v>
      </x:c>
      <x:c r="D7" s="20" t="str">
        <x:f>INDEX('Основания'!$D$2:$D$100,MATCH("CS-C03",'Основания'!$A$2:$A$100,0))</x:f>
        <x:v>Да</x:v>
      </x:c>
      <x:c r="E7" s="20" t="str">
        <x:f>INDEX('Основания'!$D$2:$D$100,MATCH("CS-C04",'Основания'!$A$2:$A$100,0))</x:f>
        <x:v>Не установлено</x:v>
      </x:c>
    </x:row>
    <x:row r="8" ht="42" customHeight="1">
      <x:c r="A8" s="21" t="str">
        <x:v>CodeScoring TQI</x:v>
      </x:c>
      <x:c r="B8" s="20" t="str">
        <x:f>INDEX('Основания'!$D$2:$D$100,MATCH("TQ-C01",'Основания'!$A$2:$A$100,0))</x:f>
        <x:v>Не установлено</x:v>
      </x:c>
      <x:c r="C8" s="20" t="str">
        <x:f>INDEX('Основания'!$D$2:$D$100,MATCH("TQ-C02",'Основания'!$A$2:$A$100,0))</x:f>
        <x:v>Не установлено</x:v>
      </x:c>
      <x:c r="D8" s="20" t="str">
        <x:f>INDEX('Основания'!$D$2:$D$100,MATCH("TQ-C03",'Основания'!$A$2:$A$100,0))</x:f>
        <x:v>Не установлено</x:v>
      </x:c>
      <x:c r="E8" s="20" t="str">
        <x:f>INDEX('Основания'!$D$2:$D$100,MATCH("TQ-C04",'Основания'!$A$2:$A$100,0))</x:f>
        <x:v>Не установлено</x:v>
      </x:c>
    </x:row>
    <x:row r="9" ht="42" customHeight="1">
      <x:c r="A9" s="21" t="str">
        <x:v>Snyk Open Source</x:v>
      </x:c>
      <x:c r="B9" s="20" t="str">
        <x:f>INDEX('Основания'!$D$2:$D$100,MATCH("SN-C01",'Основания'!$A$2:$A$100,0))</x:f>
        <x:v>Да</x:v>
      </x:c>
      <x:c r="C9" s="20" t="str">
        <x:f>INDEX('Основания'!$D$2:$D$100,MATCH("SN-C02",'Основания'!$A$2:$A$100,0))</x:f>
        <x:v>Да</x:v>
      </x:c>
      <x:c r="D9" s="20" t="str">
        <x:f>INDEX('Основания'!$D$2:$D$100,MATCH("SN-C03",'Основания'!$A$2:$A$100,0))</x:f>
        <x:v>Да</x:v>
      </x:c>
      <x:c r="E9" s="20" t="str">
        <x:f>INDEX('Основания'!$D$2:$D$100,MATCH("SN-C04",'Основания'!$A$2:$A$100,0))</x:f>
        <x:v>Не установлено</x:v>
      </x:c>
    </x:row>
    <x:row r="10" ht="42" customHeight="1">
      <x:c r="A10" s="21" t="str">
        <x:v>Sonatype Lifecycle</x:v>
      </x:c>
      <x:c r="B10" s="20" t="str">
        <x:f>INDEX('Основания'!$D$2:$D$100,MATCH("SO-C01",'Основания'!$A$2:$A$100,0))</x:f>
        <x:v>Да</x:v>
      </x:c>
      <x:c r="C10" s="20" t="str">
        <x:f>INDEX('Основания'!$D$2:$D$100,MATCH("SO-C02",'Основания'!$A$2:$A$100,0))</x:f>
        <x:v>Да</x:v>
      </x:c>
      <x:c r="D10" s="20" t="str">
        <x:f>INDEX('Основания'!$D$2:$D$100,MATCH("SO-C03",'Основания'!$A$2:$A$100,0))</x:f>
        <x:v>Да</x:v>
      </x:c>
      <x:c r="E10" s="20" t="str">
        <x:f>INDEX('Основания'!$D$2:$D$100,MATCH("SO-C04",'Основания'!$A$2:$A$100,0))</x:f>
        <x:v>Не установлено</x:v>
      </x:c>
    </x:row>
    <x:row r="11" ht="42" customHeight="1">
      <x:c r="A11" s="21" t="str">
        <x:v>Socket</x:v>
      </x:c>
      <x:c r="B11" s="20" t="str">
        <x:f>INDEX('Основания'!$D$2:$D$100,MATCH("SK-C01",'Основания'!$A$2:$A$100,0))</x:f>
        <x:v>Да</x:v>
      </x:c>
      <x:c r="C11" s="20" t="str">
        <x:f>INDEX('Основания'!$D$2:$D$100,MATCH("SK-C02",'Основания'!$A$2:$A$100,0))</x:f>
        <x:v>Да</x:v>
      </x:c>
      <x:c r="D11" s="20" t="str">
        <x:f>INDEX('Основания'!$D$2:$D$100,MATCH("SK-C03",'Основания'!$A$2:$A$100,0))</x:f>
        <x:v>Да</x:v>
      </x:c>
      <x:c r="E11" s="20" t="str">
        <x:f>INDEX('Основания'!$D$2:$D$100,MATCH("SK-C04",'Основания'!$A$2:$A$100,0))</x:f>
        <x:v>Нет</x:v>
      </x:c>
    </x:row>
    <x:row r="12" ht="42" customHeight="1">
      <x:c r="A12" s="21" t="str">
        <x:v>GitHub Dependabot</x:v>
      </x:c>
      <x:c r="B12" s="20" t="str">
        <x:f>INDEX('Основания'!$D$2:$D$100,MATCH("DB-C01",'Основания'!$A$2:$A$100,0))</x:f>
        <x:v>Да</x:v>
      </x:c>
      <x:c r="C12" s="20" t="str">
        <x:f>INDEX('Основания'!$D$2:$D$100,MATCH("DB-C02",'Основания'!$A$2:$A$100,0))</x:f>
        <x:v>Да</x:v>
      </x:c>
      <x:c r="D12" s="20" t="str">
        <x:f>INDEX('Основания'!$D$2:$D$100,MATCH("DB-C03",'Основания'!$A$2:$A$100,0))</x:f>
        <x:v>Да</x:v>
      </x:c>
      <x:c r="E12" s="20" t="str">
        <x:f>INDEX('Основания'!$D$2:$D$100,MATCH("DB-C04",'Основания'!$A$2:$A$100,0))</x:f>
        <x:v>Не установлено</x:v>
      </x:c>
    </x:row>
    <x:row r="13" ht="42" customHeight="1">
      <x:c r="A13" s="21" t="str">
        <x:v>GitHub CodeQL</x:v>
      </x:c>
      <x:c r="B13" s="20" t="str">
        <x:f>INDEX('Основания'!$D$2:$D$100,MATCH("QL-C01",'Основания'!$A$2:$A$100,0))</x:f>
        <x:v>Не установлено</x:v>
      </x:c>
      <x:c r="C13" s="20" t="str">
        <x:f>INDEX('Основания'!$D$2:$D$100,MATCH("QL-C02",'Основания'!$A$2:$A$100,0))</x:f>
        <x:v>Не установлено</x:v>
      </x:c>
      <x:c r="D13" s="20" t="str">
        <x:f>INDEX('Основания'!$D$2:$D$100,MATCH("QL-C03",'Основания'!$A$2:$A$100,0))</x:f>
        <x:v>Не установлено</x:v>
      </x:c>
      <x:c r="E13" s="20" t="str">
        <x:f>INDEX('Основания'!$D$2:$D$100,MATCH("QL-C04",'Основания'!$A$2:$A$100,0))</x:f>
        <x:v>Да</x:v>
      </x:c>
    </x:row>
    <x:row r="14" ht="42" customHeight="1">
      <x:c r="A14" s="21" t="str">
        <x:v>OpenSSF Scorecard</x:v>
      </x:c>
      <x:c r="B14" s="20" t="str">
        <x:f>INDEX('Основания'!$D$2:$D$100,MATCH("SC-C01",'Основания'!$A$2:$A$100,0))</x:f>
        <x:v>Не установлено</x:v>
      </x:c>
      <x:c r="C14" s="20" t="str">
        <x:f>INDEX('Основания'!$D$2:$D$100,MATCH("SC-C02",'Основания'!$A$2:$A$100,0))</x:f>
        <x:v>Да</x:v>
      </x:c>
      <x:c r="D14" s="20" t="str">
        <x:f>INDEX('Основания'!$D$2:$D$100,MATCH("SC-C03",'Основания'!$A$2:$A$100,0))</x:f>
        <x:v>Не установлено</x:v>
      </x:c>
      <x:c r="E14" s="20" t="str">
        <x:f>INDEX('Основания'!$D$2:$D$100,MATCH("SC-C04",'Основания'!$A$2:$A$100,0))</x:f>
        <x:v>Не установлено</x:v>
      </x:c>
    </x:row>
    <x:row r="15" ht="42" customHeight="1">
      <x:c r="A15" s="21" t="str">
        <x:v>OWASP Dependency-Track</x:v>
      </x:c>
      <x:c r="B15" s="20" t="str">
        <x:f>INDEX('Основания'!$D$2:$D$100,MATCH("DT-C01",'Основания'!$A$2:$A$100,0))</x:f>
        <x:v>Да</x:v>
      </x:c>
      <x:c r="C15" s="20" t="str">
        <x:f>INDEX('Основания'!$D$2:$D$100,MATCH("DT-C02",'Основания'!$A$2:$A$100,0))</x:f>
        <x:v>Да</x:v>
      </x:c>
      <x:c r="D15" s="20" t="str">
        <x:f>INDEX('Основания'!$D$2:$D$100,MATCH("DT-C03",'Основания'!$A$2:$A$100,0))</x:f>
        <x:v>Да</x:v>
      </x:c>
      <x:c r="E15" s="20" t="str">
        <x:f>INDEX('Основания'!$D$2:$D$100,MATCH("DT-C04",'Основания'!$A$2:$A$100,0))</x:f>
        <x:v>Не установлено</x:v>
      </x:c>
    </x:row>
    <x:row r="16" ht="30" customHeight="1">
      <x:c r="A16" s="21" t="str">
        <x:v>Подтверждено по критерию</x:v>
      </x:c>
      <x:c r="B16" s="21" t="n">
        <x:f>COUNTIF(B7:B15,"Да")</x:f>
        <x:v>6</x:v>
      </x:c>
      <x:c r="C16" s="21" t="n">
        <x:f>COUNTIF(C7:C15,"Да")</x:f>
        <x:v>7</x:v>
      </x:c>
      <x:c r="D16" s="21" t="n">
        <x:f>COUNTIF(D7:D15,"Да")</x:f>
        <x:v>6</x:v>
      </x:c>
      <x:c r="E16" s="21" t="n">
        <x:f>COUNTIF(E7:E15,"Да")</x:f>
        <x:v>1</x:v>
      </x:c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  <x:row r="19">
      <x:c r="A19" s="31" t="str">
        <x:v>Процессы и участие</x:v>
      </x:c>
      <x:c r="B19" s="19"/>
      <x:c r="C19" s="19"/>
      <x:c r="D19" s="19"/>
      <x:c r="E19" s="19"/>
    </x:row>
    <x:row r="20" ht="50" customHeight="1">
      <x:c r="A20" s="22" t="str">
        <x:v>Объект</x:v>
      </x:c>
      <x:c r="B20" s="22" t="str">
        <x:v>C05
Защитные практики</x:v>
      </x:c>
      <x:c r="C20" s="22" t="str">
        <x:v>C06
Вклад разработчиков</x:v>
      </x:c>
      <x:c r="D20" s="22" t="str">
        <x:v>C07
Смена публикующих участников</x:v>
      </x:c>
      <x:c r="E20" s="22" t="str">
        <x:v>C08
Участие организаций</x:v>
      </x:c>
    </x:row>
    <x:row r="21" ht="42" customHeight="1">
      <x:c r="A21" s="21" t="str">
        <x:v>CodeScoring SCA + OSA</x:v>
      </x:c>
      <x:c r="B21" s="20" t="str">
        <x:f>INDEX('Основания'!$D$2:$D$100,MATCH("CS-C05",'Основания'!$A$2:$A$100,0))</x:f>
        <x:v>Не установлено</x:v>
      </x:c>
      <x:c r="C21" s="20" t="str">
        <x:f>INDEX('Основания'!$D$2:$D$100,MATCH("CS-C06",'Основания'!$A$2:$A$100,0))</x:f>
        <x:v>Не установлено</x:v>
      </x:c>
      <x:c r="D21" s="20" t="str">
        <x:f>INDEX('Основания'!$D$2:$D$100,MATCH("CS-C07",'Основания'!$A$2:$A$100,0))</x:f>
        <x:v>Не установлено</x:v>
      </x:c>
      <x:c r="E21" s="20" t="str">
        <x:f>INDEX('Основания'!$D$2:$D$100,MATCH("CS-C08",'Основания'!$A$2:$A$100,0))</x:f>
        <x:v>Не установлено</x:v>
      </x:c>
    </x:row>
    <x:row r="22" ht="42" customHeight="1">
      <x:c r="A22" s="21" t="str">
        <x:v>CodeScoring TQI</x:v>
      </x:c>
      <x:c r="B22" s="20" t="str">
        <x:f>INDEX('Основания'!$D$2:$D$100,MATCH("TQ-C05",'Основания'!$A$2:$A$100,0))</x:f>
        <x:v>Не установлено</x:v>
      </x:c>
      <x:c r="C22" s="20" t="str">
        <x:f>INDEX('Основания'!$D$2:$D$100,MATCH("TQ-C06",'Основания'!$A$2:$A$100,0))</x:f>
        <x:v>Да</x:v>
      </x:c>
      <x:c r="D22" s="20" t="str">
        <x:f>INDEX('Основания'!$D$2:$D$100,MATCH("TQ-C07",'Основания'!$A$2:$A$100,0))</x:f>
        <x:v>Не установлено</x:v>
      </x:c>
      <x:c r="E22" s="20" t="str">
        <x:f>INDEX('Основания'!$D$2:$D$100,MATCH("TQ-C08",'Основания'!$A$2:$A$100,0))</x:f>
        <x:v>Не установлено</x:v>
      </x:c>
    </x:row>
    <x:row r="23" ht="42" customHeight="1">
      <x:c r="A23" s="21" t="str">
        <x:v>Snyk Open Source</x:v>
      </x:c>
      <x:c r="B23" s="20" t="str">
        <x:f>INDEX('Основания'!$D$2:$D$100,MATCH("SN-C05",'Основания'!$A$2:$A$100,0))</x:f>
        <x:v>Не установлено</x:v>
      </x:c>
      <x:c r="C23" s="20" t="str">
        <x:f>INDEX('Основания'!$D$2:$D$100,MATCH("SN-C06",'Основания'!$A$2:$A$100,0))</x:f>
        <x:v>Не установлено</x:v>
      </x:c>
      <x:c r="D23" s="20" t="str">
        <x:f>INDEX('Основания'!$D$2:$D$100,MATCH("SN-C07",'Основания'!$A$2:$A$100,0))</x:f>
        <x:v>Не установлено</x:v>
      </x:c>
      <x:c r="E23" s="20" t="str">
        <x:f>INDEX('Основания'!$D$2:$D$100,MATCH("SN-C08",'Основания'!$A$2:$A$100,0))</x:f>
        <x:v>Не установлено</x:v>
      </x:c>
    </x:row>
    <x:row r="24" ht="42" customHeight="1">
      <x:c r="A24" s="21" t="str">
        <x:v>Sonatype Lifecycle</x:v>
      </x:c>
      <x:c r="B24" s="20" t="str">
        <x:f>INDEX('Основания'!$D$2:$D$100,MATCH("SO-C05",'Основания'!$A$2:$A$100,0))</x:f>
        <x:v>Не установлено</x:v>
      </x:c>
      <x:c r="C24" s="20" t="str">
        <x:f>INDEX('Основания'!$D$2:$D$100,MATCH("SO-C06",'Основания'!$A$2:$A$100,0))</x:f>
        <x:v>Не установлено</x:v>
      </x:c>
      <x:c r="D24" s="20" t="str">
        <x:f>INDEX('Основания'!$D$2:$D$100,MATCH("SO-C07",'Основания'!$A$2:$A$100,0))</x:f>
        <x:v>Не установлено</x:v>
      </x:c>
      <x:c r="E24" s="20" t="str">
        <x:f>INDEX('Основания'!$D$2:$D$100,MATCH("SO-C08",'Основания'!$A$2:$A$100,0))</x:f>
        <x:v>Не установлено</x:v>
      </x:c>
    </x:row>
    <x:row r="25" ht="42" customHeight="1">
      <x:c r="A25" s="21" t="str">
        <x:v>Socket</x:v>
      </x:c>
      <x:c r="B25" s="20" t="str">
        <x:f>INDEX('Основания'!$D$2:$D$100,MATCH("SK-C05",'Основания'!$A$2:$A$100,0))</x:f>
        <x:v>Не установлено</x:v>
      </x:c>
      <x:c r="C25" s="20" t="str">
        <x:f>INDEX('Основания'!$D$2:$D$100,MATCH("SK-C06",'Основания'!$A$2:$A$100,0))</x:f>
        <x:v>Не установлено</x:v>
      </x:c>
      <x:c r="D25" s="20" t="str">
        <x:f>INDEX('Основания'!$D$2:$D$100,MATCH("SK-C07",'Основания'!$A$2:$A$100,0))</x:f>
        <x:v>Да</x:v>
      </x:c>
      <x:c r="E25" s="20" t="str">
        <x:f>INDEX('Основания'!$D$2:$D$100,MATCH("SK-C08",'Основания'!$A$2:$A$100,0))</x:f>
        <x:v>Не установлено</x:v>
      </x:c>
    </x:row>
    <x:row r="26" ht="42" customHeight="1">
      <x:c r="A26" s="21" t="str">
        <x:v>GitHub Dependabot</x:v>
      </x:c>
      <x:c r="B26" s="20" t="str">
        <x:f>INDEX('Основания'!$D$2:$D$100,MATCH("DB-C05",'Основания'!$A$2:$A$100,0))</x:f>
        <x:v>Не установлено</x:v>
      </x:c>
      <x:c r="C26" s="20" t="str">
        <x:f>INDEX('Основания'!$D$2:$D$100,MATCH("DB-C06",'Основания'!$A$2:$A$100,0))</x:f>
        <x:v>Не установлено</x:v>
      </x:c>
      <x:c r="D26" s="20" t="str">
        <x:f>INDEX('Основания'!$D$2:$D$100,MATCH("DB-C07",'Основания'!$A$2:$A$100,0))</x:f>
        <x:v>Не установлено</x:v>
      </x:c>
      <x:c r="E26" s="20" t="str">
        <x:f>INDEX('Основания'!$D$2:$D$100,MATCH("DB-C08",'Основания'!$A$2:$A$100,0))</x:f>
        <x:v>Не установлено</x:v>
      </x:c>
    </x:row>
    <x:row r="27" ht="42" customHeight="1">
      <x:c r="A27" s="21" t="str">
        <x:v>GitHub CodeQL</x:v>
      </x:c>
      <x:c r="B27" s="20" t="str">
        <x:f>INDEX('Основания'!$D$2:$D$100,MATCH("QL-C05",'Основания'!$A$2:$A$100,0))</x:f>
        <x:v>Не установлено</x:v>
      </x:c>
      <x:c r="C27" s="20" t="str">
        <x:f>INDEX('Основания'!$D$2:$D$100,MATCH("QL-C06",'Основания'!$A$2:$A$100,0))</x:f>
        <x:v>Не установлено</x:v>
      </x:c>
      <x:c r="D27" s="20" t="str">
        <x:f>INDEX('Основания'!$D$2:$D$100,MATCH("QL-C07",'Основания'!$A$2:$A$100,0))</x:f>
        <x:v>Не установлено</x:v>
      </x:c>
      <x:c r="E27" s="20" t="str">
        <x:f>INDEX('Основания'!$D$2:$D$100,MATCH("QL-C08",'Основания'!$A$2:$A$100,0))</x:f>
        <x:v>Не установлено</x:v>
      </x:c>
    </x:row>
    <x:row r="28" ht="42" customHeight="1">
      <x:c r="A28" s="21" t="str">
        <x:v>OpenSSF Scorecard</x:v>
      </x:c>
      <x:c r="B28" s="20" t="str">
        <x:f>INDEX('Основания'!$D$2:$D$100,MATCH("SC-C05",'Основания'!$A$2:$A$100,0))</x:f>
        <x:v>Да</x:v>
      </x:c>
      <x:c r="C28" s="20" t="str">
        <x:f>INDEX('Основания'!$D$2:$D$100,MATCH("SC-C06",'Основания'!$A$2:$A$100,0))</x:f>
        <x:v>Да</x:v>
      </x:c>
      <x:c r="D28" s="20" t="str">
        <x:f>INDEX('Основания'!$D$2:$D$100,MATCH("SC-C07",'Основания'!$A$2:$A$100,0))</x:f>
        <x:v>Не установлено</x:v>
      </x:c>
      <x:c r="E28" s="20" t="str">
        <x:f>INDEX('Основания'!$D$2:$D$100,MATCH("SC-C08",'Основания'!$A$2:$A$100,0))</x:f>
        <x:v>Да</x:v>
      </x:c>
    </x:row>
    <x:row r="29" ht="42" customHeight="1">
      <x:c r="A29" s="21" t="str">
        <x:v>OWASP Dependency-Track</x:v>
      </x:c>
      <x:c r="B29" s="20" t="str">
        <x:f>INDEX('Основания'!$D$2:$D$100,MATCH("DT-C05",'Основания'!$A$2:$A$100,0))</x:f>
        <x:v>Не установлено</x:v>
      </x:c>
      <x:c r="C29" s="20" t="str">
        <x:f>INDEX('Основания'!$D$2:$D$100,MATCH("DT-C06",'Основания'!$A$2:$A$100,0))</x:f>
        <x:v>Не установлено</x:v>
      </x:c>
      <x:c r="D29" s="20" t="str">
        <x:f>INDEX('Основания'!$D$2:$D$100,MATCH("DT-C07",'Основания'!$A$2:$A$100,0))</x:f>
        <x:v>Не установлено</x:v>
      </x:c>
      <x:c r="E29" s="20" t="str">
        <x:f>INDEX('Основания'!$D$2:$D$100,MATCH("DT-C08",'Основания'!$A$2:$A$100,0))</x:f>
        <x:v>Не установлено</x:v>
      </x:c>
    </x:row>
    <x:row r="30" ht="30" customHeight="1">
      <x:c r="A30" s="21" t="str">
        <x:v>Подтверждено по критерию</x:v>
      </x:c>
      <x:c r="B30" s="21" t="n">
        <x:f>COUNTIF(B21:B29,"Да")</x:f>
        <x:v>1</x:v>
      </x:c>
      <x:c r="C30" s="21" t="n">
        <x:f>COUNTIF(C21:C29,"Да")</x:f>
        <x:v>2</x:v>
      </x:c>
      <x:c r="D30" s="21" t="n">
        <x:f>COUNTIF(D21:D29,"Да")</x:f>
        <x:v>1</x:v>
      </x:c>
      <x:c r="E30" s="21" t="n">
        <x:f>COUNTIF(E21:E29,"Да")</x:f>
        <x:v>1</x:v>
      </x:c>
    </x:row>
    <x:row r="31">
      <x:c r="A31" s="19"/>
      <x:c r="B31" s="19"/>
      <x:c r="C31" s="19"/>
      <x:c r="D31" s="19"/>
      <x:c r="E31" s="19"/>
    </x:row>
    <x:row r="32">
      <x:c r="A32" s="19"/>
      <x:c r="B32" s="19"/>
      <x:c r="C32" s="19"/>
      <x:c r="D32" s="19"/>
      <x:c r="E32" s="19"/>
    </x:row>
    <x:row r="33">
      <x:c r="A33" s="31" t="str">
        <x:v>Поддержка решения</x:v>
      </x:c>
      <x:c r="B33" s="19"/>
      <x:c r="C33" s="19"/>
      <x:c r="D33" s="19"/>
      <x:c r="E33" s="19"/>
    </x:row>
    <x:row r="34" ht="50" customHeight="1">
      <x:c r="A34" s="22" t="str">
        <x:v>Объект</x:v>
      </x:c>
      <x:c r="B34" s="22" t="str">
        <x:v>C09
Объект результата</x:v>
      </x:c>
      <x:c r="C34" s="22" t="str">
        <x:v>C10
Проверяемое основание</x:v>
      </x:c>
      <x:c r="D34" s="22" t="str">
        <x:v>C11
Действия по исправлению</x:v>
      </x:c>
      <x:c r="E34" s="19"/>
    </x:row>
    <x:row r="35" ht="42" customHeight="1">
      <x:c r="A35" s="21" t="str">
        <x:v>CodeScoring SCA + OSA</x:v>
      </x:c>
      <x:c r="B35" s="20" t="str">
        <x:f>INDEX('Основания'!$D$2:$D$100,MATCH("CS-C09",'Основания'!$A$2:$A$100,0))</x:f>
        <x:v>Да</x:v>
      </x:c>
      <x:c r="C35" s="20" t="str">
        <x:f>INDEX('Основания'!$D$2:$D$100,MATCH("CS-C10",'Основания'!$A$2:$A$100,0))</x:f>
        <x:v>Да</x:v>
      </x:c>
      <x:c r="D35" s="20" t="str">
        <x:f>INDEX('Основания'!$D$2:$D$100,MATCH("CS-C11",'Основания'!$A$2:$A$100,0))</x:f>
        <x:v>Да</x:v>
      </x:c>
      <x:c r="E35" s="19"/>
    </x:row>
    <x:row r="36" ht="42" customHeight="1">
      <x:c r="A36" s="21" t="str">
        <x:v>CodeScoring TQI</x:v>
      </x:c>
      <x:c r="B36" s="20" t="str">
        <x:f>INDEX('Основания'!$D$2:$D$100,MATCH("TQ-C09",'Основания'!$A$2:$A$100,0))</x:f>
        <x:v>Да</x:v>
      </x:c>
      <x:c r="C36" s="20" t="str">
        <x:f>INDEX('Основания'!$D$2:$D$100,MATCH("TQ-C10",'Основания'!$A$2:$A$100,0))</x:f>
        <x:v>Да</x:v>
      </x:c>
      <x:c r="D36" s="20" t="str">
        <x:f>INDEX('Основания'!$D$2:$D$100,MATCH("TQ-C11",'Основания'!$A$2:$A$100,0))</x:f>
        <x:v>Не установлено</x:v>
      </x:c>
      <x:c r="E36" s="19"/>
    </x:row>
    <x:row r="37" ht="42" customHeight="1">
      <x:c r="A37" s="21" t="str">
        <x:v>Snyk Open Source</x:v>
      </x:c>
      <x:c r="B37" s="20" t="str">
        <x:f>INDEX('Основания'!$D$2:$D$100,MATCH("SN-C09",'Основания'!$A$2:$A$100,0))</x:f>
        <x:v>Да</x:v>
      </x:c>
      <x:c r="C37" s="20" t="str">
        <x:f>INDEX('Основания'!$D$2:$D$100,MATCH("SN-C10",'Основания'!$A$2:$A$100,0))</x:f>
        <x:v>Да</x:v>
      </x:c>
      <x:c r="D37" s="20" t="str">
        <x:f>INDEX('Основания'!$D$2:$D$100,MATCH("SN-C11",'Основания'!$A$2:$A$100,0))</x:f>
        <x:v>Да</x:v>
      </x:c>
      <x:c r="E37" s="19"/>
    </x:row>
    <x:row r="38" ht="42" customHeight="1">
      <x:c r="A38" s="21" t="str">
        <x:v>Sonatype Lifecycle</x:v>
      </x:c>
      <x:c r="B38" s="20" t="str">
        <x:f>INDEX('Основания'!$D$2:$D$100,MATCH("SO-C09",'Основания'!$A$2:$A$100,0))</x:f>
        <x:v>Да</x:v>
      </x:c>
      <x:c r="C38" s="20" t="str">
        <x:f>INDEX('Основания'!$D$2:$D$100,MATCH("SO-C10",'Основания'!$A$2:$A$100,0))</x:f>
        <x:v>Да</x:v>
      </x:c>
      <x:c r="D38" s="20" t="str">
        <x:f>INDEX('Основания'!$D$2:$D$100,MATCH("SO-C11",'Основания'!$A$2:$A$100,0))</x:f>
        <x:v>Да</x:v>
      </x:c>
      <x:c r="E38" s="19"/>
    </x:row>
    <x:row r="39" ht="42" customHeight="1">
      <x:c r="A39" s="21" t="str">
        <x:v>Socket</x:v>
      </x:c>
      <x:c r="B39" s="20" t="str">
        <x:f>INDEX('Основания'!$D$2:$D$100,MATCH("SK-C09",'Основания'!$A$2:$A$100,0))</x:f>
        <x:v>Да</x:v>
      </x:c>
      <x:c r="C39" s="20" t="str">
        <x:f>INDEX('Основания'!$D$2:$D$100,MATCH("SK-C10",'Основания'!$A$2:$A$100,0))</x:f>
        <x:v>Да</x:v>
      </x:c>
      <x:c r="D39" s="20" t="str">
        <x:f>INDEX('Основания'!$D$2:$D$100,MATCH("SK-C11",'Основания'!$A$2:$A$100,0))</x:f>
        <x:v>Да</x:v>
      </x:c>
      <x:c r="E39" s="19"/>
    </x:row>
    <x:row r="40" ht="42" customHeight="1">
      <x:c r="A40" s="21" t="str">
        <x:v>GitHub Dependabot</x:v>
      </x:c>
      <x:c r="B40" s="20" t="str">
        <x:f>INDEX('Основания'!$D$2:$D$100,MATCH("DB-C09",'Основания'!$A$2:$A$100,0))</x:f>
        <x:v>Да</x:v>
      </x:c>
      <x:c r="C40" s="20" t="str">
        <x:f>INDEX('Основания'!$D$2:$D$100,MATCH("DB-C10",'Основания'!$A$2:$A$100,0))</x:f>
        <x:v>Да</x:v>
      </x:c>
      <x:c r="D40" s="20" t="str">
        <x:f>INDEX('Основания'!$D$2:$D$100,MATCH("DB-C11",'Основания'!$A$2:$A$100,0))</x:f>
        <x:v>Да</x:v>
      </x:c>
      <x:c r="E40" s="19"/>
    </x:row>
    <x:row r="41" ht="42" customHeight="1">
      <x:c r="A41" s="21" t="str">
        <x:v>GitHub CodeQL</x:v>
      </x:c>
      <x:c r="B41" s="20" t="str">
        <x:f>INDEX('Основания'!$D$2:$D$100,MATCH("QL-C09",'Основания'!$A$2:$A$100,0))</x:f>
        <x:v>Да</x:v>
      </x:c>
      <x:c r="C41" s="20" t="str">
        <x:f>INDEX('Основания'!$D$2:$D$100,MATCH("QL-C10",'Основания'!$A$2:$A$100,0))</x:f>
        <x:v>Да</x:v>
      </x:c>
      <x:c r="D41" s="20" t="str">
        <x:f>INDEX('Основания'!$D$2:$D$100,MATCH("QL-C11",'Основания'!$A$2:$A$100,0))</x:f>
        <x:v>Да</x:v>
      </x:c>
      <x:c r="E41" s="19"/>
    </x:row>
    <x:row r="42" ht="42" customHeight="1">
      <x:c r="A42" s="21" t="str">
        <x:v>OpenSSF Scorecard</x:v>
      </x:c>
      <x:c r="B42" s="20" t="str">
        <x:f>INDEX('Основания'!$D$2:$D$100,MATCH("SC-C09",'Основания'!$A$2:$A$100,0))</x:f>
        <x:v>Да</x:v>
      </x:c>
      <x:c r="C42" s="20" t="str">
        <x:f>INDEX('Основания'!$D$2:$D$100,MATCH("SC-C10",'Основания'!$A$2:$A$100,0))</x:f>
        <x:v>Да</x:v>
      </x:c>
      <x:c r="D42" s="20" t="str">
        <x:f>INDEX('Основания'!$D$2:$D$100,MATCH("SC-C11",'Основания'!$A$2:$A$100,0))</x:f>
        <x:v>Да</x:v>
      </x:c>
      <x:c r="E42" s="19"/>
    </x:row>
    <x:row r="43" ht="42" customHeight="1">
      <x:c r="A43" s="21" t="str">
        <x:v>OWASP Dependency-Track</x:v>
      </x:c>
      <x:c r="B43" s="20" t="str">
        <x:f>INDEX('Основания'!$D$2:$D$100,MATCH("DT-C09",'Основания'!$A$2:$A$100,0))</x:f>
        <x:v>Да</x:v>
      </x:c>
      <x:c r="C43" s="20" t="str">
        <x:f>INDEX('Основания'!$D$2:$D$100,MATCH("DT-C10",'Основания'!$A$2:$A$100,0))</x:f>
        <x:v>Да</x:v>
      </x:c>
      <x:c r="D43" s="20" t="str">
        <x:f>INDEX('Основания'!$D$2:$D$100,MATCH("DT-C11",'Основания'!$A$2:$A$100,0))</x:f>
        <x:v>Да</x:v>
      </x:c>
      <x:c r="E43" s="19"/>
    </x:row>
    <x:row r="44" ht="30" customHeight="1">
      <x:c r="A44" s="21" t="str">
        <x:v>Подтверждено по критерию</x:v>
      </x:c>
      <x:c r="B44" s="21" t="n">
        <x:f>COUNTIF(B35:B43,"Да")</x:f>
        <x:v>9</x:v>
      </x:c>
      <x:c r="C44" s="21" t="n">
        <x:f>COUNTIF(C35:C43,"Да")</x:f>
        <x:v>9</x:v>
      </x:c>
      <x:c r="D44" s="21" t="n">
        <x:f>COUNTIF(D35:D43,"Да")</x:f>
        <x:v>8</x:v>
      </x:c>
      <x:c r="E44" s="19"/>
    </x:row>
    <x:row r="45">
      <x:c r="A45" s="19"/>
      <x:c r="B45" s="19"/>
      <x:c r="C45" s="19"/>
      <x:c r="D45" s="19"/>
      <x:c r="E45" s="19"/>
    </x:row>
    <x:row r="46">
      <x:c r="A46" s="19"/>
      <x:c r="B46" s="19"/>
      <x:c r="C46" s="19"/>
      <x:c r="D46" s="19"/>
      <x:c r="E46" s="19"/>
    </x:row>
    <x:row r="47">
      <x:c r="A47" s="27" t="str">
        <x:v>Определения и границы — на листе «Методика». Основания всех 99 оценок сохранены отдельно.</x:v>
      </x:c>
      <x:c r="B47" s="27"/>
      <x:c r="C47" s="27"/>
      <x:c r="D47" s="27"/>
      <x:c r="E47" s="27"/>
    </x:row>
  </x:sheetData>
  <x:conditionalFormatting sqref="B7:E15">
    <x:cfRule type="containsText" dxfId="12" priority="10" operator="containsText" text="Да"/>
    <x:cfRule type="containsText" dxfId="13" priority="11" operator="containsText" text="Нет"/>
    <x:cfRule type="containsText" dxfId="14" priority="12" operator="containsText" text="Не установлено"/>
  </x:conditionalFormatting>
  <x:conditionalFormatting sqref="B21:E29">
    <x:cfRule type="containsText" dxfId="15" priority="13" operator="containsText" text="Да"/>
    <x:cfRule type="containsText" dxfId="16" priority="14" operator="containsText" text="Нет"/>
    <x:cfRule type="containsText" dxfId="17" priority="15" operator="containsText" text="Не установлено"/>
  </x:conditionalFormatting>
  <x:conditionalFormatting sqref="B35:D43">
    <x:cfRule type="containsText" dxfId="18" priority="16" operator="containsText" text="Да"/>
    <x:cfRule type="containsText" dxfId="19" priority="17" operator="containsText" text="Нет"/>
    <x:cfRule type="containsText" dxfId="20" priority="18" operator="containsText" text="Не установлено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.440000534057617" hidden="0" customWidth="1"/>
    <x:col min="2" max="2" width="37.779998779296875" hidden="0" customWidth="1"/>
    <x:col min="3" max="3" width="37.779998779296875" hidden="0" customWidth="1"/>
    <x:col min="4" max="4" width="38.88999938964844" hidden="0" customWidth="1"/>
    <x:col min="5" max="5" width="28.889999389648438" hidden="0" customWidth="1"/>
    <x:col min="6" max="6" width="40" hidden="0" customWidth="1"/>
    <x:col min="7" max="7" width="13.329999923706055" hidden="0" customWidth="1"/>
  </x:cols>
  <x:sheetData>
    <x:row r="1" ht="42" customHeight="1">
      <x:c r="A1" s="22" t="str">
        <x:v>Решение</x:v>
      </x:c>
      <x:c r="B1" s="22" t="str">
        <x:v>Входные данные</x:v>
      </x:c>
      <x:c r="C1" s="22" t="str">
        <x:v>Что проверяется</x:v>
      </x:c>
      <x:c r="D1" s="22" t="str">
        <x:v>Получаемый результат</x:v>
      </x:c>
      <x:c r="E1" s="22" t="str">
        <x:v>Привязка результата</x:v>
      </x:c>
      <x:c r="F1" s="22" t="str">
        <x:v>Ограничения</x:v>
      </x:c>
      <x:c r="G1" s="22" t="str">
        <x:v>Источники</x:v>
      </x:c>
    </x:row>
    <x:row r="2" ht="88" customHeight="1">
      <x:c r="A2" s="21" t="str">
        <x:v>CodeScoring SCA + OSA</x:v>
      </x:c>
      <x:c r="B2" s="21" t="str">
        <x:v>SCA: файлы зависимостей и артефакты поддерживаемых экосистем. OSA: запросы компонентов через интеграцию с хранилищем или прокси.</x:v>
      </x:c>
      <x:c r="C2" s="21" t="str">
        <x:v>SCA определяет зависимости и сопоставляет их со сведениями об уязвимостях, вредоносных компонентах и лицензиях. OSA применяет заданные политики.</x:v>
      </x:c>
      <x:c r="D2" s="21" t="str">
        <x:v>Состав и граф зависимостей, находки и нарушения политик; для OSA — решение о доступе к компоненту.</x:v>
      </x:c>
      <x:c r="E2" s="21" t="str">
        <x:v>Компонент и его версия в составе проверенного проекта либо запрос получения компонента.</x:v>
      </x:c>
      <x:c r="F2" s="21" t="str">
        <x:v>Результат зависит от экосистемы и способа анализа. Применённая политика не подтверждает качество ревью в upstream-проекте.</x:v>
      </x:c>
      <x:c r="G2" s="21" t="str">
        <x:v>CS1; CS4</x:v>
      </x:c>
    </x:row>
    <x:row r="3" ht="88" customHeight="1">
      <x:c r="A3" s="21" t="str">
        <x:v>CodeScoring TQI</x:v>
      </x:c>
      <x:c r="B3" s="21" t="str">
        <x:v>Подключённый репозиторий системы контроля версий и доступная история коммитов.</x:v>
      </x:c>
      <x:c r="C3" s="21" t="str">
        <x:v>Анализирует коммиты, авторство, изменения строк, сложность и дубликаты.</x:v>
      </x:c>
      <x:c r="D3" s="21" t="str">
        <x:v>История изменений и авторов, даты активности, хеши коммитов, показатели сложности; список авторов можно выгрузить в CSV.</x:v>
      </x:c>
      <x:c r="E3" s="21" t="str">
        <x:v>Проект, автор, коммит и выбранный период.</x:v>
      </x:c>
      <x:c r="F3" s="21" t="str">
        <x:v>Коммит не равнозначен независимому ревью. Имя автора не подтверждает его личность, а сложность кода не доказывает наличие бэкдора.</x:v>
      </x:c>
      <x:c r="G3" s="21" t="str">
        <x:v>CS2; CS3</x:v>
      </x:c>
    </x:row>
    <x:row r="4" ht="88" customHeight="1">
      <x:c r="A4" s="21" t="str">
        <x:v>Snyk Open Source</x:v>
      </x:c>
      <x:c r="B4" s="21" t="str">
        <x:v>Проект и его зависимости, полученные поддерживаемым способом сканирования или через подключение репозитория.</x:v>
      </x:c>
      <x:c r="C4" s="21" t="str">
        <x:v>Сопоставляет зависимости с известными уязвимостями и вредоносными пакетами; проверяет лицензии.</x:v>
      </x:c>
      <x:c r="D4" s="21" t="str">
        <x:v>Находки для зависимостей, приоритизация и сведения об исправлениях; поддерживаются запросы на изменение зависимостей.</x:v>
      </x:c>
      <x:c r="E4" s="21" t="str">
        <x:v>Компонент и выпуск в составе проекта.</x:v>
      </x:c>
      <x:c r="F4" s="21" t="str">
        <x:v>Отслеживаются официальные выпуски или теги; произвольный коммит не считается отдельным выпуском. Snyk Code в сравнение не включён.</x:v>
      </x:c>
      <x:c r="G4" s="21" t="str">
        <x:v>SN1; SN3; SN4</x:v>
      </x:c>
    </x:row>
    <x:row r="5" ht="88" customHeight="1">
      <x:c r="A5" s="21" t="str">
        <x:v>Sonatype Lifecycle</x:v>
      </x:c>
      <x:c r="B5" s="21" t="str">
        <x:v>Файлы зависимостей, бинарные артефакты или SBOM в поддерживаемом режиме; настройки приложения, этапа и политик.</x:v>
      </x:c>
      <x:c r="C5" s="21" t="str">
        <x:v>Идентифицирует компоненты и оценивает политики, включая Security-Malicious по категории Malicious Code.</x:v>
      </x:c>
      <x:c r="D5" s="21" t="str">
        <x:v>Отчёт о компонентах и нарушениях. Настроенные действия могут предупреждать или останавливать этап; SCM-интеграция поддерживает исправления.</x:v>
      </x:c>
      <x:c r="E5" s="21" t="str">
        <x:v>Компонент в отчёте по приложению и выбранному этапу.</x:v>
      </x:c>
      <x:c r="F5" s="21" t="str">
        <x:v>Действие зависит от политики и интеграции. Сравнивается Lifecycle; возможности отдельного Repository Firewall не перенесены.</x:v>
      </x:c>
      <x:c r="G5" s="21" t="str">
        <x:v>SO1; SO2; SO3; SO4</x:v>
      </x:c>
    </x:row>
    <x:row r="6" ht="88" customHeight="1">
      <x:c r="A6" s="21" t="str">
        <x:v>Socket</x:v>
      </x:c>
      <x:c r="B6" s="21" t="str">
        <x:v>Код, метаданные и история сопровождающих сторонних пакетов; изменения зависимостей при интеграции с GitHub.</x:v>
      </x:c>
      <x:c r="C6" s="21" t="str">
        <x:v>Статически исследует код пакетов и признаки поведения, например установочные скрипты и сетевые обращения; учитывает события публикации.</x:v>
      </x:c>
      <x:c r="D6" s="21" t="str">
        <x:v>Предупреждения по пакету и изменению зависимости, в том числе о рискованном поведении или новом публикующем участнике.</x:v>
      </x:c>
      <x:c r="E6" s="21" t="str">
        <x:v>Пакет, его версия и изменение зависимости.</x:v>
      </x:c>
      <x:c r="F6" s="21" t="str">
        <x:v>Предупреждение требует интерпретации. Новый участник сам по себе не является злоумышленником; анализ зависимостей не равен SAST собственного приложения.</x:v>
      </x:c>
      <x:c r="G6" s="21" t="str">
        <x:v>SK1; SK2; SK3</x:v>
      </x:c>
    </x:row>
    <x:row r="7" ht="88" customHeight="1">
      <x:c r="A7" s="21" t="str">
        <x:v>GitHub Dependabot</x:v>
      </x:c>
      <x:c r="B7" s="21" t="str">
        <x:v>Граф зависимостей репозитория и записи GitHub Advisory Database.</x:v>
      </x:c>
      <x:c r="C7" s="21" t="str">
        <x:v>Сопоставляет зависимости основной ветви с известными уязвимостями. Malware alerts отдельно используют сведения об известных вредоносных пакетах.</x:v>
      </x:c>
      <x:c r="D7" s="21" t="str">
        <x:v>Предупреждение с затронутым файлом и сведениями о проблеме; версия исправления при наличии. Security updates могут создать PR.</x:v>
      </x:c>
      <x:c r="E7" s="21" t="str">
        <x:v>Зависимость и её версия в основной ветви репозитория.</x:v>
      </x:c>
      <x:c r="F7" s="21" t="str">
        <x:v>Зависят от поддерживаемой экосистемы, доступности состава и настроек. Malware alerts не означают поведенческий поиск неизвестного бэкдора.</x:v>
      </x:c>
      <x:c r="G7" s="21" t="str">
        <x:v>GH5; GH6; GH7</x:v>
      </x:c>
    </x:row>
    <x:row r="8" ht="88" customHeight="1">
      <x:c r="A8" s="21" t="str">
        <x:v>GitHub CodeQL</x:v>
      </x:c>
      <x:c r="B8" s="21" t="str">
        <x:v>Исходный код поддерживаемого языка, из которого строится база CodeQL; выбранный набор запросов.</x:v>
      </x:c>
      <x:c r="C8" s="21" t="str">
        <x:v>Выполняет запросы к представлению кодовой базы и выделяет соответствующие им проблемы.</x:v>
      </x:c>
      <x:c r="D8" s="21" t="str">
        <x:v>Предупреждения code scanning, связанные с участками кода; описание проблемы и сведения об исправлении.</x:v>
      </x:c>
      <x:c r="E8" s="21" t="str">
        <x:v>Проанализированный код и место находки в репозитории.</x:v>
      </x:c>
      <x:c r="F8" s="21" t="str">
        <x:v>Охват зависит от языка, настройки анализа и запросов. Отсутствие находок не подтверждает отсутствие всех опасных конструкций.</x:v>
      </x:c>
      <x:c r="G8" s="21" t="str">
        <x:v>GH1; GH8</x:v>
      </x:c>
    </x:row>
    <x:row r="9" ht="88" customHeight="1">
      <x:c r="A9" s="21" t="str">
        <x:v>OpenSSF Scorecard</x:v>
      </x:c>
      <x:c r="B9" s="21" t="str">
        <x:v>Репозиторий, доступные сведения площадки о настройках и истории изменений; права доступа выбранного режима.</x:v>
      </x:c>
      <x:c r="C9" s="21" t="str">
        <x:v>Выполняет отдельные проверки, включая Code-Review, Branch-Protection, Contributors и Vulnerabilities.</x:v>
      </x:c>
      <x:c r="D9" s="21" t="str">
        <x:v>Результаты отдельных проверок, оценки и подробности; документация описывает меры улучшения практик.</x:v>
      </x:c>
      <x:c r="E9" s="21" t="str">
        <x:v>Репозиторий в состоянии, доступном на момент проверки.</x:v>
      </x:c>
      <x:c r="F9" s="21" t="str">
        <x:v>Часть настроек требует административного доступа. Публичный API не включает все проверки, в частности Contributors. Балл не является вероятностью бэкдора.</x:v>
      </x:c>
      <x:c r="G9" s="21" t="str">
        <x:v>SC1; SC2</x:v>
      </x:c>
    </x:row>
    <x:row r="10" ht="88" customHeight="1">
      <x:c r="A10" s="21" t="str">
        <x:v>OWASP Dependency-Track</x:v>
      </x:c>
      <x:c r="B10" s="21" t="str">
        <x:v>SBOM CycloneDX с составом приложения и его версии; подключённые источники сведений об уязвимостях.</x:v>
      </x:c>
      <x:c r="C10" s="21" t="str">
        <x:v>Сопоставляет компоненты с данными об уязвимостях; применяет политики, включая заданные хеши известных вредоносных пакетов.</x:v>
      </x:c>
      <x:c r="D10" s="21" t="str">
        <x:v>Компоненты, находки и нарушения политик; затронутые проекты и версии. В FPF доступны сведения об исправлении, если они есть в записи.</x:v>
      </x:c>
      <x:c r="E10" s="21" t="str">
        <x:v>Компонент в составе версии приложения, учтённой платформой.</x:v>
      </x:c>
      <x:c r="F10" s="21" t="str">
        <x:v>Полнота зависит от SBOM и правил. Проверка хешей требует заранее заданных значений; поле recommendation не гарантирует автоматический подбор версии.</x:v>
      </x:c>
      <x:c r="G10" s="21" t="str">
        <x:v>DT1; DT2; DT3; DT4; DT5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21.670000076293945" hidden="0" customWidth="1"/>
    <x:col min="3" max="3" width="10" hidden="0" customWidth="1"/>
    <x:col min="4" max="4" width="16.110000610351562" hidden="0" customWidth="1"/>
    <x:col min="5" max="5" width="47.779998779296875" hidden="0" customWidth="1"/>
    <x:col min="6" max="6" width="12.220000267028809" hidden="0" customWidth="1"/>
    <x:col min="7" max="7" width="40" hidden="0" customWidth="1"/>
    <x:col min="8" max="8" width="61.11000061035156" hidden="0" customWidth="1"/>
  </x:cols>
  <x:sheetData>
    <x:row r="1" ht="42" customHeight="1">
      <x:c r="A1" s="22" t="str">
        <x:v>ID оценки</x:v>
      </x:c>
      <x:c r="B1" s="22" t="str">
        <x:v>Объект</x:v>
      </x:c>
      <x:c r="C1" s="22" t="str">
        <x:v>Критерий</x:v>
      </x:c>
      <x:c r="D1" s="22" t="str">
        <x:v>Оценка</x:v>
      </x:c>
      <x:c r="E1" s="22" t="str">
        <x:v>Основание</x:v>
      </x:c>
      <x:c r="F1" s="22" t="str">
        <x:v>Источники</x:v>
      </x:c>
      <x:c r="G1" s="22" t="str">
        <x:v>Раздел документа</x:v>
      </x:c>
      <x:c r="H1" s="22" t="str">
        <x:v>URL источников</x:v>
      </x:c>
    </x:row>
    <x:row r="2" ht="102" customHeight="1">
      <x:c r="A2" s="21" t="str">
        <x:v>CS-C01</x:v>
      </x:c>
      <x:c r="B2" s="21" t="str">
        <x:v>CodeScoring SCA + OSA</x:v>
      </x:c>
      <x:c r="C2" s="21" t="str">
        <x:v>C01</x:v>
      </x:c>
      <x:c r="D2" s="20" t="str">
        <x:v>Да</x:v>
      </x:c>
      <x:c r="E2" s="21" t="str">
        <x:v>Описаны манифесты, транзитивные зависимости и граф связей.</x:v>
      </x:c>
      <x:c r="F2" s="21" t="str">
        <x:v>CS1</x:v>
      </x:c>
      <x:c r="G2" s="21" t="str">
        <x:v>CodeScoring.SCA / обнаружение зависимостей</x:v>
      </x:c>
      <x:c r="H2" s="21" t="str">
        <x:v>https://docs.codescoring.ru/functionality/</x:v>
      </x:c>
    </x:row>
    <x:row r="3" ht="102" customHeight="1">
      <x:c r="A3" s="21" t="str">
        <x:v>CS-C02</x:v>
      </x:c>
      <x:c r="B3" s="21" t="str">
        <x:v>CodeScoring SCA + OSA</x:v>
      </x:c>
      <x:c r="C3" s="21" t="str">
        <x:v>C02</x:v>
      </x:c>
      <x:c r="D3" s="20" t="str">
        <x:v>Да</x:v>
      </x:c>
      <x:c r="E3" s="21" t="str">
        <x:v>Представляются сведения об уязвимостях и затронутых проектах.</x:v>
      </x:c>
      <x:c r="F3" s="21" t="str">
        <x:v>CS1</x:v>
      </x:c>
      <x:c r="G3" s="21" t="str">
        <x:v>CodeScoring.SCA / информация об уязвимостях</x:v>
      </x:c>
      <x:c r="H3" s="21" t="str">
        <x:v>https://docs.codescoring.ru/functionality/</x:v>
      </x:c>
    </x:row>
    <x:row r="4" ht="102" customHeight="1">
      <x:c r="A4" s="21" t="str">
        <x:v>CS-C03</x:v>
      </x:c>
      <x:c r="B4" s="21" t="str">
        <x:v>CodeScoring SCA + OSA</x:v>
      </x:c>
      <x:c r="C4" s="21" t="str">
        <x:v>C03</x:v>
      </x:c>
      <x:c r="D4" s="20" t="str">
        <x:v>Да</x:v>
      </x:c>
      <x:c r="E4" s="21" t="str">
        <x:v>Среди условий политики названы вредоносный код и перечни нежелательных пакетов; точность не измерялась.</x:v>
      </x:c>
      <x:c r="F4" s="21" t="str">
        <x:v>CS1</x:v>
      </x:c>
      <x:c r="G4" s="21" t="str">
        <x:v>CodeScoring.SCA и OSA / политики</x:v>
      </x:c>
      <x:c r="H4" s="21" t="str">
        <x:v>https://docs.codescoring.ru/functionality/</x:v>
      </x:c>
    </x:row>
    <x:row r="5" ht="102" customHeight="1">
      <x:c r="A5" s="21" t="str">
        <x:v>CS-C04</x:v>
      </x:c>
      <x:c r="B5" s="21" t="str">
        <x:v>CodeScoring SCA + OSA</x:v>
      </x:c>
      <x:c r="C5" s="21" t="str">
        <x:v>C04</x:v>
      </x:c>
      <x:c r="D5" s="20" t="str">
        <x:v>Не установлено</x:v>
      </x:c>
      <x:c r="E5" s="21" t="str">
        <x:v>В изученных разделах описаны SCA и проверка компонентов; SAST собственного кода в выбранных модулях не подтверждён.</x:v>
      </x:c>
      <x:c r="F5" s="21" t="str">
        <x:v>CS1</x:v>
      </x:c>
      <x:c r="G5" s="21" t="str">
        <x:v>CodeScoring.SCA / функциональные характеристики</x:v>
      </x:c>
      <x:c r="H5" s="21" t="str">
        <x:v>https://docs.codescoring.ru/functionality/</x:v>
      </x:c>
    </x:row>
    <x:row r="6" ht="102" customHeight="1">
      <x:c r="A6" s="21" t="str">
        <x:v>CS-C05</x:v>
      </x:c>
      <x:c r="B6" s="21" t="str">
        <x:v>CodeScoring SCA + OSA</x:v>
      </x:c>
      <x:c r="C6" s="21" t="str">
        <x:v>C05</x:v>
      </x:c>
      <x:c r="D6" s="20" t="str">
        <x:v>Не установлено</x:v>
      </x:c>
      <x:c r="E6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6" s="21" t="str">
        <x:v>CS1; CS4</x:v>
      </x:c>
      <x:c r="G6" s="21" t="str">
        <x:v>Границы и функции выбранного модуля; разделы, перечисленные в реестре источников</x:v>
      </x:c>
      <x:c r="H6" s="21" t="str">
        <x:v>https://docs.codescoring.ru/functionality/
https://docs.codescoring.ru/en/user-guide/osa/index</x:v>
      </x:c>
    </x:row>
    <x:row r="7" ht="102" customHeight="1">
      <x:c r="A7" s="21" t="str">
        <x:v>CS-C06</x:v>
      </x:c>
      <x:c r="B7" s="21" t="str">
        <x:v>CodeScoring SCA + OSA</x:v>
      </x:c>
      <x:c r="C7" s="21" t="str">
        <x:v>C06</x:v>
      </x:c>
      <x:c r="D7" s="20" t="str">
        <x:v>Не установлено</x:v>
      </x:c>
      <x:c r="E7" s="21" t="str">
        <x:v>В рассмотренных разделах не подтверждено сопоставление авторов коммитов и их вклада; данные о пакете не заменяют историю разработки.</x:v>
      </x:c>
      <x:c r="F7" s="21" t="str">
        <x:v>CS1; CS4</x:v>
      </x:c>
      <x:c r="G7" s="21" t="str">
        <x:v>Границы и функции выбранного модуля; разделы, перечисленные в реестре источников</x:v>
      </x:c>
      <x:c r="H7" s="21" t="str">
        <x:v>https://docs.codescoring.ru/functionality/
https://docs.codescoring.ru/en/user-guide/osa/index</x:v>
      </x:c>
    </x:row>
    <x:row r="8" ht="102" customHeight="1">
      <x:c r="A8" s="21" t="str">
        <x:v>CS-C07</x:v>
      </x:c>
      <x:c r="B8" s="21" t="str">
        <x:v>CodeScoring SCA + OSA</x:v>
      </x:c>
      <x:c r="C8" s="21" t="str">
        <x:v>C07</x:v>
      </x:c>
      <x:c r="D8" s="20" t="str">
        <x:v>Не установлено</x:v>
      </x:c>
      <x:c r="E8" s="21" t="str">
        <x:v>В рассмотренных разделах не подтверждено отслеживание смены публикующих участников или владельцев пакета.</x:v>
      </x:c>
      <x:c r="F8" s="21" t="str">
        <x:v>CS1; CS4</x:v>
      </x:c>
      <x:c r="G8" s="21" t="str">
        <x:v>Границы и функции выбранного модуля; разделы, перечисленные в реестре источников</x:v>
      </x:c>
      <x:c r="H8" s="21" t="str">
        <x:v>https://docs.codescoring.ru/functionality/
https://docs.codescoring.ru/en/user-guide/osa/index</x:v>
      </x:c>
    </x:row>
    <x:row r="9" ht="102" customHeight="1">
      <x:c r="A9" s="21" t="str">
        <x:v>CS-C08</x:v>
      </x:c>
      <x:c r="B9" s="21" t="str">
        <x:v>CodeScoring SCA + OSA</x:v>
      </x:c>
      <x:c r="C9" s="21" t="str">
        <x:v>C08</x:v>
      </x:c>
      <x:c r="D9" s="20" t="str">
        <x:v>Не установлено</x:v>
      </x:c>
      <x:c r="E9" s="21" t="str">
        <x:v>В рассмотренных разделах не подтверждён анализ аффилиаций разработчиков и участия внешних организаций.</x:v>
      </x:c>
      <x:c r="F9" s="21" t="str">
        <x:v>CS1; CS4</x:v>
      </x:c>
      <x:c r="G9" s="21" t="str">
        <x:v>Границы и функции выбранного модуля; разделы, перечисленные в реестре источников</x:v>
      </x:c>
      <x:c r="H9" s="21" t="str">
        <x:v>https://docs.codescoring.ru/functionality/
https://docs.codescoring.ru/en/user-guide/osa/index</x:v>
      </x:c>
    </x:row>
    <x:row r="10" ht="102" customHeight="1">
      <x:c r="A10" s="21" t="str">
        <x:v>CS-C09</x:v>
      </x:c>
      <x:c r="B10" s="21" t="str">
        <x:v>CodeScoring SCA + OSA</x:v>
      </x:c>
      <x:c r="C10" s="21" t="str">
        <x:v>C09</x:v>
      </x:c>
      <x:c r="D10" s="20" t="str">
        <x:v>Да</x:v>
      </x:c>
      <x:c r="E10" s="21" t="str">
        <x:v>Результаты анализа привязаны к версии проекта и идентифицированной зависимости.</x:v>
      </x:c>
      <x:c r="F10" s="21" t="str">
        <x:v>CS1</x:v>
      </x:c>
      <x:c r="G10" s="21" t="str">
        <x:v>CodeScoring.SCA: версии проектов; информация о зависимостях</x:v>
      </x:c>
      <x:c r="H10" s="21" t="str">
        <x:v>https://docs.codescoring.ru/functionality/</x:v>
      </x:c>
    </x:row>
    <x:row r="11" ht="102" customHeight="1">
      <x:c r="A11" s="21" t="str">
        <x:v>CS-C10</x:v>
      </x:c>
      <x:c r="B11" s="21" t="str">
        <x:v>CodeScoring SCA + OSA</x:v>
      </x:c>
      <x:c r="C11" s="21" t="str">
        <x:v>C10</x:v>
      </x:c>
      <x:c r="D11" s="20" t="str">
        <x:v>Да</x:v>
      </x:c>
      <x:c r="E11" s="21" t="str">
        <x:v>Доступны контекст зависимости, манифест, граф и сведения об уязвимости.</x:v>
      </x:c>
      <x:c r="F11" s="21" t="str">
        <x:v>CS1</x:v>
      </x:c>
      <x:c r="G11" s="21" t="str">
        <x:v>CodeScoring.SCA / сведения о зависимостях и уязвимостях</x:v>
      </x:c>
      <x:c r="H11" s="21" t="str">
        <x:v>https://docs.codescoring.ru/functionality/</x:v>
      </x:c>
    </x:row>
    <x:row r="12" ht="102" customHeight="1">
      <x:c r="A12" s="21" t="str">
        <x:v>CS-C11</x:v>
      </x:c>
      <x:c r="B12" s="21" t="str">
        <x:v>CodeScoring SCA + OSA</x:v>
      </x:c>
      <x:c r="C12" s="21" t="str">
        <x:v>C11</x:v>
      </x:c>
      <x:c r="D12" s="20" t="str">
        <x:v>Да</x:v>
      </x:c>
      <x:c r="E12" s="21" t="str">
        <x:v>Для зависимости указывается версия исправления, для уязвимости — ссылки на патчи.</x:v>
      </x:c>
      <x:c r="F12" s="21" t="str">
        <x:v>CS1</x:v>
      </x:c>
      <x:c r="G12" s="21" t="str">
        <x:v>CodeScoring.SCA / информация о зависимостях</x:v>
      </x:c>
      <x:c r="H12" s="21" t="str">
        <x:v>https://docs.codescoring.ru/functionality/</x:v>
      </x:c>
    </x:row>
    <x:row r="13" ht="102" customHeight="1">
      <x:c r="A13" s="21" t="str">
        <x:v>TQ-C01</x:v>
      </x:c>
      <x:c r="B13" s="21" t="str">
        <x:v>CodeScoring TQI</x:v>
      </x:c>
      <x:c r="C13" s="21" t="str">
        <x:v>C01</x:v>
      </x:c>
      <x:c r="D13" s="20" t="str">
        <x:v>Не установлено</x:v>
      </x:c>
      <x:c r="E13" s="21" t="str">
        <x:v>В рассмотренных разделах не установлен вывод или импорт полного перечня компонентов; использование зависимостей внутри проверки не засчитано как инвентаризация.</x:v>
      </x:c>
      <x:c r="F13" s="21" t="str">
        <x:v>CS2; CS3</x:v>
      </x:c>
      <x:c r="G13" s="21" t="str">
        <x:v>Границы и функции выбранного модуля; разделы, перечисленные в реестре источников</x:v>
      </x:c>
      <x:c r="H13" s="21" t="str">
        <x:v>https://docs.codescoring.ru/user-guide/tqi/viewing-results
https://docs.codescoring.ru/en/user-guide/tqi/launch-analysis</x:v>
      </x:c>
    </x:row>
    <x:row r="14" ht="102" customHeight="1">
      <x:c r="A14" s="21" t="str">
        <x:v>TQ-C02</x:v>
      </x:c>
      <x:c r="B14" s="21" t="str">
        <x:v>CodeScoring TQI</x:v>
      </x:c>
      <x:c r="C14" s="21" t="str">
        <x:v>C02</x:v>
      </x:c>
      <x:c r="D14" s="20" t="str">
        <x:v>Не установлено</x:v>
      </x:c>
      <x:c r="E14" s="21" t="str">
        <x:v>В рассмотренных разделах выбранного модуля не подтверждено сопоставление с базой известных уязвимостей.</x:v>
      </x:c>
      <x:c r="F14" s="21" t="str">
        <x:v>CS2; CS3</x:v>
      </x:c>
      <x:c r="G14" s="21" t="str">
        <x:v>Границы и функции выбранного модуля; разделы, перечисленные в реестре источников</x:v>
      </x:c>
      <x:c r="H14" s="21" t="str">
        <x:v>https://docs.codescoring.ru/user-guide/tqi/viewing-results
https://docs.codescoring.ru/en/user-guide/tqi/launch-analysis</x:v>
      </x:c>
    </x:row>
    <x:row r="15" ht="102" customHeight="1">
      <x:c r="A15" s="21" t="str">
        <x:v>TQ-C03</x:v>
      </x:c>
      <x:c r="B15" s="21" t="str">
        <x:v>CodeScoring TQI</x:v>
      </x:c>
      <x:c r="C15" s="21" t="str">
        <x:v>C03</x:v>
      </x:c>
      <x:c r="D15" s="20" t="str">
        <x:v>Не установлено</x:v>
      </x:c>
      <x:c r="E15" s="21" t="str">
        <x:v>В рассмотренных разделах выбранного модуля не подтвержден поиск вредоносных пакетов или подозрительного поведения пакета.</x:v>
      </x:c>
      <x:c r="F15" s="21" t="str">
        <x:v>CS2; CS3</x:v>
      </x:c>
      <x:c r="G15" s="21" t="str">
        <x:v>Границы и функции выбранного модуля; разделы, перечисленные в реестре источников</x:v>
      </x:c>
      <x:c r="H15" s="21" t="str">
        <x:v>https://docs.codescoring.ru/user-guide/tqi/viewing-results
https://docs.codescoring.ru/en/user-guide/tqi/launch-analysis</x:v>
      </x:c>
    </x:row>
    <x:row r="16" ht="102" customHeight="1">
      <x:c r="A16" s="21" t="str">
        <x:v>TQ-C04</x:v>
      </x:c>
      <x:c r="B16" s="21" t="str">
        <x:v>CodeScoring TQI</x:v>
      </x:c>
      <x:c r="C16" s="21" t="str">
        <x:v>C04</x:v>
      </x:c>
      <x:c r="D16" s="20" t="str">
        <x:v>Не установлено</x:v>
      </x:c>
      <x:c r="E16" s="21" t="str">
        <x:v>В рассмотренных разделах не подтвержден SAST исходного кода проекта в границах выбранного модуля.</x:v>
      </x:c>
      <x:c r="F16" s="21" t="str">
        <x:v>CS2; CS3</x:v>
      </x:c>
      <x:c r="G16" s="21" t="str">
        <x:v>Границы и функции выбранного модуля; разделы, перечисленные в реестре источников</x:v>
      </x:c>
      <x:c r="H16" s="21" t="str">
        <x:v>https://docs.codescoring.ru/user-guide/tqi/viewing-results
https://docs.codescoring.ru/en/user-guide/tqi/launch-analysis</x:v>
      </x:c>
    </x:row>
    <x:row r="17" ht="102" customHeight="1">
      <x:c r="A17" s="21" t="str">
        <x:v>TQ-C05</x:v>
      </x:c>
      <x:c r="B17" s="21" t="str">
        <x:v>CodeScoring TQI</x:v>
      </x:c>
      <x:c r="C17" s="21" t="str">
        <x:v>C05</x:v>
      </x:c>
      <x:c r="D17" s="20" t="str">
        <x:v>Не установлено</x:v>
      </x:c>
      <x:c r="E17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17" s="21" t="str">
        <x:v>CS2; CS3</x:v>
      </x:c>
      <x:c r="G17" s="21" t="str">
        <x:v>Границы и функции выбранного модуля; разделы, перечисленные в реестре источников</x:v>
      </x:c>
      <x:c r="H17" s="21" t="str">
        <x:v>https://docs.codescoring.ru/user-guide/tqi/viewing-results
https://docs.codescoring.ru/en/user-guide/tqi/launch-analysis</x:v>
      </x:c>
    </x:row>
    <x:row r="18" ht="102" customHeight="1">
      <x:c r="A18" s="21" t="str">
        <x:v>TQ-C06</x:v>
      </x:c>
      <x:c r="B18" s="21" t="str">
        <x:v>CodeScoring TQI</x:v>
      </x:c>
      <x:c r="C18" s="21" t="str">
        <x:v>C06</x:v>
      </x:c>
      <x:c r="D18" s="20" t="str">
        <x:v>Да</x:v>
      </x:c>
      <x:c r="E18" s="21" t="str">
        <x:v>Таблица содержит авторов, периоды участия, число и сложность изменений.</x:v>
      </x:c>
      <x:c r="F18" s="21" t="str">
        <x:v>CS2</x:v>
      </x:c>
      <x:c r="G18" s="21" t="str">
        <x:v>Авторский состав</x:v>
      </x:c>
      <x:c r="H18" s="21" t="str">
        <x:v>https://docs.codescoring.ru/user-guide/tqi/viewing-results</x:v>
      </x:c>
    </x:row>
    <x:row r="19" ht="102" customHeight="1">
      <x:c r="A19" s="21" t="str">
        <x:v>TQ-C07</x:v>
      </x:c>
      <x:c r="B19" s="21" t="str">
        <x:v>CodeScoring TQI</x:v>
      </x:c>
      <x:c r="C19" s="21" t="str">
        <x:v>C07</x:v>
      </x:c>
      <x:c r="D19" s="20" t="str">
        <x:v>Не установлено</x:v>
      </x:c>
      <x:c r="E19" s="21" t="str">
        <x:v>В рассмотренных разделах не подтверждено отслеживание смены публикующих участников или владельцев пакета.</x:v>
      </x:c>
      <x:c r="F19" s="21" t="str">
        <x:v>CS2; CS3</x:v>
      </x:c>
      <x:c r="G19" s="21" t="str">
        <x:v>Границы и функции выбранного модуля; разделы, перечисленные в реестре источников</x:v>
      </x:c>
      <x:c r="H19" s="21" t="str">
        <x:v>https://docs.codescoring.ru/user-guide/tqi/viewing-results
https://docs.codescoring.ru/en/user-guide/tqi/launch-analysis</x:v>
      </x:c>
    </x:row>
    <x:row r="20" ht="102" customHeight="1">
      <x:c r="A20" s="21" t="str">
        <x:v>TQ-C08</x:v>
      </x:c>
      <x:c r="B20" s="21" t="str">
        <x:v>CodeScoring TQI</x:v>
      </x:c>
      <x:c r="C20" s="21" t="str">
        <x:v>C08</x:v>
      </x:c>
      <x:c r="D20" s="20" t="str">
        <x:v>Не установлено</x:v>
      </x:c>
      <x:c r="E20" s="21" t="str">
        <x:v>Профиль автора содержит подразделение внутри организации и список OSS-проектов. Это не подтверждает установление аффилиаций внешних авторов или анализ вклада сторонних компаний.</x:v>
      </x:c>
      <x:c r="F20" s="21" t="str">
        <x:v>CS5</x:v>
      </x:c>
      <x:c r="G20" s="21" t="str">
        <x:v>Построение профилей авторов / Список авторов; Страница автора</x:v>
      </x:c>
      <x:c r="H20" s="21" t="str">
        <x:v>https://docs.codescoring.ru/user-guide/tqi/authors</x:v>
      </x:c>
    </x:row>
    <x:row r="21" ht="102" customHeight="1">
      <x:c r="A21" s="21" t="str">
        <x:v>TQ-C09</x:v>
      </x:c>
      <x:c r="B21" s="21" t="str">
        <x:v>CodeScoring TQI</x:v>
      </x:c>
      <x:c r="C21" s="21" t="str">
        <x:v>C09</x:v>
      </x:c>
      <x:c r="D21" s="20" t="str">
        <x:v>Да</x:v>
      </x:c>
      <x:c r="E21" s="21" t="str">
        <x:v>В отчёте проекта раскрываются даты и хэши коммитов со ссылками на VCS.</x:v>
      </x:c>
      <x:c r="F21" s="21" t="str">
        <x:v>CS2</x:v>
      </x:c>
      <x:c r="G21" s="21" t="str">
        <x:v>Список коммитов с расчетом цикломатической сложности</x:v>
      </x:c>
      <x:c r="H21" s="21" t="str">
        <x:v>https://docs.codescoring.ru/user-guide/tqi/viewing-results</x:v>
      </x:c>
    </x:row>
    <x:row r="22" ht="102" customHeight="1">
      <x:c r="A22" s="21" t="str">
        <x:v>TQ-C10</x:v>
      </x:c>
      <x:c r="B22" s="21" t="str">
        <x:v>CodeScoring TQI</x:v>
      </x:c>
      <x:c r="C22" s="21" t="str">
        <x:v>C10</x:v>
      </x:c>
      <x:c r="D22" s="20" t="str">
        <x:v>Да</x:v>
      </x:c>
      <x:c r="E22" s="21" t="str">
        <x:v>Метрики раскрываются через авторов, даты, хэши коммитов и изменения строк; это основание метрики, а не объяснение риска бэкдора.</x:v>
      </x:c>
      <x:c r="F22" s="21" t="str">
        <x:v>CS2</x:v>
      </x:c>
      <x:c r="G22" s="21" t="str">
        <x:v>Авторский состав; Список коммитов с расчетом цикломатической сложности</x:v>
      </x:c>
      <x:c r="H22" s="21" t="str">
        <x:v>https://docs.codescoring.ru/user-guide/tqi/viewing-results</x:v>
      </x:c>
    </x:row>
    <x:row r="23" ht="102" customHeight="1">
      <x:c r="A23" s="21" t="str">
        <x:v>TQ-C11</x:v>
      </x:c>
      <x:c r="B23" s="21" t="str">
        <x:v>CodeScoring TQI</x:v>
      </x:c>
      <x:c r="C23" s="21" t="str">
        <x:v>C11</x:v>
      </x:c>
      <x:c r="D23" s="20" t="str">
        <x:v>Не установлено</x:v>
      </x:c>
      <x:c r="E23" s="21" t="str">
        <x:v>Документированы уровни сложности и метрики дублирования. Общая связь дубликатов с рефакторингом не подтверждает выдачу конкретного исправления для находки.</x:v>
      </x:c>
      <x:c r="F23" s="21" t="str">
        <x:v>CS6; CS2</x:v>
      </x:c>
      <x:c r="G23" s="21" t="str">
        <x:v>Расчет метрик технического долга / Сложность; Дубликаты; Просмотр результатов</x:v>
      </x:c>
      <x:c r="H23" s="21" t="str">
        <x:v>https://docs.codescoring.ru/user-guide/tqi/metrics
https://docs.codescoring.ru/user-guide/tqi/viewing-results</x:v>
      </x:c>
    </x:row>
    <x:row r="24" ht="102" customHeight="1">
      <x:c r="A24" s="21" t="str">
        <x:v>SN-C01</x:v>
      </x:c>
      <x:c r="B24" s="21" t="str">
        <x:v>Snyk Open Source</x:v>
      </x:c>
      <x:c r="C24" s="21" t="str">
        <x:v>C01</x:v>
      </x:c>
      <x:c r="D24" s="20" t="str">
        <x:v>Да</x:v>
      </x:c>
      <x:c r="E24" s="21" t="str">
        <x:v>Анализируются открытые библиотеки приложения, включая косвенные зависимости.</x:v>
      </x:c>
      <x:c r="F24" s="21" t="str">
        <x:v>SN1</x:v>
      </x:c>
      <x:c r="G24" s="21" t="str">
        <x:v>Snyk Open Source / вводная часть</x:v>
      </x:c>
      <x:c r="H24" s="21" t="str">
        <x:v>https://docs.snyk.io/scan-fix-and-prevent/scan-with-snyk/snyk-open-source</x:v>
      </x:c>
    </x:row>
    <x:row r="25" ht="102" customHeight="1">
      <x:c r="A25" s="21" t="str">
        <x:v>SN-C02</x:v>
      </x:c>
      <x:c r="B25" s="21" t="str">
        <x:v>Snyk Open Source</x:v>
      </x:c>
      <x:c r="C25" s="21" t="str">
        <x:v>C02</x:v>
      </x:c>
      <x:c r="D25" s="20" t="str">
        <x:v>Да</x:v>
      </x:c>
      <x:c r="E25" s="21" t="str">
        <x:v>Описан поиск уязвимостей библиотек.</x:v>
      </x:c>
      <x:c r="F25" s="21" t="str">
        <x:v>SN1</x:v>
      </x:c>
      <x:c r="G25" s="21" t="str">
        <x:v>Find and fix vulnerabilities</x:v>
      </x:c>
      <x:c r="H25" s="21" t="str">
        <x:v>https://docs.snyk.io/scan-fix-and-prevent/scan-with-snyk/snyk-open-source</x:v>
      </x:c>
    </x:row>
    <x:row r="26" ht="102" customHeight="1">
      <x:c r="A26" s="21" t="str">
        <x:v>SN-C03</x:v>
      </x:c>
      <x:c r="B26" s="21" t="str">
        <x:v>Snyk Open Source</x:v>
      </x:c>
      <x:c r="C26" s="21" t="str">
        <x:v>C03</x:v>
      </x:c>
      <x:c r="D26" s="20" t="str">
        <x:v>Да</x:v>
      </x:c>
      <x:c r="E26" s="21" t="str">
        <x:v>Известные вредоносные пакеты распознаются по данным Snyk и отмечаются CWE-506. Сопоставляются экосистема, имя и версия; происхождение пакета не различается. Это не поиск неизвестного поведения.</x:v>
      </x:c>
      <x:c r="F26" s="21" t="str">
        <x:v>SN4</x:v>
      </x:c>
      <x:c r="G26" s="21" t="str">
        <x:v>Malicious packages / CWE-506; Verifying the provenance of packages</x:v>
      </x:c>
      <x:c r="H26" s="21" t="str">
        <x:v>https://docs.snyk.io/scan-fix-and-prevent/fix/prioritize-issues-for-fixing/malicious-packages</x:v>
      </x:c>
    </x:row>
    <x:row r="27" ht="102" customHeight="1">
      <x:c r="A27" s="21" t="str">
        <x:v>SN-C04</x:v>
      </x:c>
      <x:c r="B27" s="21" t="str">
        <x:v>Snyk Open Source</x:v>
      </x:c>
      <x:c r="C27" s="21" t="str">
        <x:v>C04</x:v>
      </x:c>
      <x:c r="D27" s="20" t="str">
        <x:v>Не установлено</x:v>
      </x:c>
      <x:c r="E27" s="21" t="str">
        <x:v>В изученных разделах выбран SCA-модуль; функция SAST собственного кода этим описанием не подтверждается.</x:v>
      </x:c>
      <x:c r="F27" s="21" t="str">
        <x:v>SN1</x:v>
      </x:c>
      <x:c r="G27" s="21" t="str">
        <x:v>Snyk Open Source</x:v>
      </x:c>
      <x:c r="H27" s="21" t="str">
        <x:v>https://docs.snyk.io/scan-fix-and-prevent/scan-with-snyk/snyk-open-source</x:v>
      </x:c>
    </x:row>
    <x:row r="28" ht="102" customHeight="1">
      <x:c r="A28" s="21" t="str">
        <x:v>SN-C05</x:v>
      </x:c>
      <x:c r="B28" s="21" t="str">
        <x:v>Snyk Open Source</x:v>
      </x:c>
      <x:c r="C28" s="21" t="str">
        <x:v>C05</x:v>
      </x:c>
      <x:c r="D28" s="20" t="str">
        <x:v>Не установлено</x:v>
      </x:c>
      <x:c r="E28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28" s="21" t="str">
        <x:v>SN1; SN3</x:v>
      </x:c>
      <x:c r="G28" s="21" t="str">
        <x:v>Границы и функции выбранного модуля; разделы, перечисленные в реестре источников</x:v>
      </x:c>
      <x:c r="H28" s="21" t="str">
        <x:v>https://docs.snyk.io/scan-fix-and-prevent/scan-with-snyk/snyk-open-source
https://docs.snyk.io/scan-fix-and-prevent/scan-with-snyk/snyk-open-source/scan-open-source-libraries-and-licenses</x:v>
      </x:c>
    </x:row>
    <x:row r="29" ht="102" customHeight="1">
      <x:c r="A29" s="21" t="str">
        <x:v>SN-C06</x:v>
      </x:c>
      <x:c r="B29" s="21" t="str">
        <x:v>Snyk Open Source</x:v>
      </x:c>
      <x:c r="C29" s="21" t="str">
        <x:v>C06</x:v>
      </x:c>
      <x:c r="D29" s="20" t="str">
        <x:v>Не установлено</x:v>
      </x:c>
      <x:c r="E29" s="21" t="str">
        <x:v>Сводка зависимостей содержит версии и даты публикации. Разбор вклада авторов по коммитам в этих разделах не описан.</x:v>
      </x:c>
      <x:c r="F29" s="21" t="str">
        <x:v>SN5; SN1</x:v>
      </x:c>
      <x:c r="G29" s="21" t="str">
        <x:v>View dependencies / Field details; Snyk Open Source</x:v>
      </x:c>
      <x:c r="H29" s="21" t="str">
        <x:v>https://docs.snyk.io/scan-fix-and-prevent/prevent/dependencies-and-licenses/view-dependencies
https://docs.snyk.io/scan-fix-and-prevent/scan-with-snyk/snyk-open-source</x:v>
      </x:c>
    </x:row>
    <x:row r="30" ht="102" customHeight="1">
      <x:c r="A30" s="21" t="str">
        <x:v>SN-C07</x:v>
      </x:c>
      <x:c r="B30" s="21" t="str">
        <x:v>Snyk Open Source</x:v>
      </x:c>
      <x:c r="C30" s="21" t="str">
        <x:v>C07</x:v>
      </x:c>
      <x:c r="D30" s="20" t="str">
        <x:v>Не установлено</x:v>
      </x:c>
      <x:c r="E30" s="21" t="str">
        <x:v>Поля Latest version и Last publish описывают выпуск пакета. История смены публикующих участников в данном разделе не описана.</x:v>
      </x:c>
      <x:c r="F30" s="21" t="str">
        <x:v>SN5</x:v>
      </x:c>
      <x:c r="G30" s="21" t="str">
        <x:v>View dependencies / Field details</x:v>
      </x:c>
      <x:c r="H30" s="21" t="str">
        <x:v>https://docs.snyk.io/scan-fix-and-prevent/prevent/dependencies-and-licenses/view-dependencies</x:v>
      </x:c>
    </x:row>
    <x:row r="31" ht="102" customHeight="1">
      <x:c r="A31" s="21" t="str">
        <x:v>SN-C08</x:v>
      </x:c>
      <x:c r="B31" s="21" t="str">
        <x:v>Snyk Open Source</x:v>
      </x:c>
      <x:c r="C31" s="21" t="str">
        <x:v>C08</x:v>
      </x:c>
      <x:c r="D31" s="20" t="str">
        <x:v>Не установлено</x:v>
      </x:c>
      <x:c r="E31" s="21" t="str">
        <x:v>В рассмотренных разделах не подтверждён анализ аффилиаций разработчиков и участия внешних организаций.</x:v>
      </x:c>
      <x:c r="F31" s="21" t="str">
        <x:v>SN1; SN3</x:v>
      </x:c>
      <x:c r="G31" s="21" t="str">
        <x:v>Границы и функции выбранного модуля; разделы, перечисленные в реестре источников</x:v>
      </x:c>
      <x:c r="H31" s="21" t="str">
        <x:v>https://docs.snyk.io/scan-fix-and-prevent/scan-with-snyk/snyk-open-source
https://docs.snyk.io/scan-fix-and-prevent/scan-with-snyk/snyk-open-source/scan-open-source-libraries-and-licenses</x:v>
      </x:c>
    </x:row>
    <x:row r="32" ht="102" customHeight="1">
      <x:c r="A32" s="21" t="str">
        <x:v>SN-C09</x:v>
      </x:c>
      <x:c r="B32" s="21" t="str">
        <x:v>Snyk Open Source</x:v>
      </x:c>
      <x:c r="C32" s="21" t="str">
        <x:v>C09</x:v>
      </x:c>
      <x:c r="D32" s="20" t="str">
        <x:v>Да</x:v>
      </x:c>
      <x:c r="E32" s="21" t="str">
        <x:v>Анализ библиотек связывается с выпусками и тегами, а находки — с версиями зависимостей.</x:v>
      </x:c>
      <x:c r="F32" s="21" t="str">
        <x:v>SN1; SN3</x:v>
      </x:c>
      <x:c r="G32" s="21" t="str">
        <x:v>Snyk Open Source; View results</x:v>
      </x:c>
      <x:c r="H32" s="21" t="str">
        <x:v>https://docs.snyk.io/scan-fix-and-prevent/scan-with-snyk/snyk-open-source
https://docs.snyk.io/scan-fix-and-prevent/scan-with-snyk/snyk-open-source/scan-open-source-libraries-and-licenses</x:v>
      </x:c>
    </x:row>
    <x:row r="33" ht="102" customHeight="1">
      <x:c r="A33" s="21" t="str">
        <x:v>SN-C10</x:v>
      </x:c>
      <x:c r="B33" s="21" t="str">
        <x:v>Snyk Open Source</x:v>
      </x:c>
      <x:c r="C33" s="21" t="str">
        <x:v>C10</x:v>
      </x:c>
      <x:c r="D33" s="20" t="str">
        <x:v>Да</x:v>
      </x:c>
      <x:c r="E33" s="21" t="str">
        <x:v>В результатах присутствуют карточки зависимостей, затронутые версии и детали найденных проблем.</x:v>
      </x:c>
      <x:c r="F33" s="21" t="str">
        <x:v>SN3</x:v>
      </x:c>
      <x:c r="G33" s="21" t="str">
        <x:v>View vulnerabilities in your open-source libraries</x:v>
      </x:c>
      <x:c r="H33" s="21" t="str">
        <x:v>https://docs.snyk.io/scan-fix-and-prevent/scan-with-snyk/snyk-open-source/scan-open-source-libraries-and-licenses</x:v>
      </x:c>
    </x:row>
    <x:row r="34" ht="102" customHeight="1">
      <x:c r="A34" s="21" t="str">
        <x:v>SN-C11</x:v>
      </x:c>
      <x:c r="B34" s="21" t="str">
        <x:v>Snyk Open Source</x:v>
      </x:c>
      <x:c r="C34" s="21" t="str">
        <x:v>C11</x:v>
      </x:c>
      <x:c r="D34" s="20" t="str">
        <x:v>Да</x:v>
      </x:c>
      <x:c r="E34" s="21" t="str">
        <x:v>Предлагаются исправления и PR для устранения уязвимостей.</x:v>
      </x:c>
      <x:c r="F34" s="21" t="str">
        <x:v>SN1</x:v>
      </x:c>
      <x:c r="G34" s="21" t="str">
        <x:v>Find and fix vulnerabilities</x:v>
      </x:c>
      <x:c r="H34" s="21" t="str">
        <x:v>https://docs.snyk.io/scan-fix-and-prevent/scan-with-snyk/snyk-open-source</x:v>
      </x:c>
    </x:row>
    <x:row r="35" ht="102" customHeight="1">
      <x:c r="A35" s="21" t="str">
        <x:v>SO-C01</x:v>
      </x:c>
      <x:c r="B35" s="21" t="str">
        <x:v>Sonatype Lifecycle</x:v>
      </x:c>
      <x:c r="C35" s="21" t="str">
        <x:v>C01</x:v>
      </x:c>
      <x:c r="D35" s="20" t="str">
        <x:v>Да</x:v>
      </x:c>
      <x:c r="E35" s="21" t="str">
        <x:v>Сканирование учитывает манифесты, lock-файлы, SBOM и компоненты артефакта.</x:v>
      </x:c>
      <x:c r="F35" s="21" t="str">
        <x:v>SO1</x:v>
      </x:c>
      <x:c r="G35" s="21" t="str">
        <x:v>Sonatype Lifecycle Evaluation Process</x:v>
      </x:c>
      <x:c r="H35" s="21" t="str">
        <x:v>https://help.sonatype.com/en/analysis.html</x:v>
      </x:c>
    </x:row>
    <x:row r="36" ht="102" customHeight="1">
      <x:c r="A36" s="21" t="str">
        <x:v>SO-C02</x:v>
      </x:c>
      <x:c r="B36" s="21" t="str">
        <x:v>Sonatype Lifecycle</x:v>
      </x:c>
      <x:c r="C36" s="21" t="str">
        <x:v>C02</x:v>
      </x:c>
      <x:c r="D36" s="20" t="str">
        <x:v>Да</x:v>
      </x:c>
      <x:c r="E36" s="21" t="str">
        <x:v>Для поддерживаемых экосистем используются сведения об известных уязвимостях.</x:v>
      </x:c>
      <x:c r="F36" s="21" t="str">
        <x:v>SO1</x:v>
      </x:c>
      <x:c r="G36" s="21" t="str">
        <x:v>Sonatype Lifecycle Data Analysis</x:v>
      </x:c>
      <x:c r="H36" s="21" t="str">
        <x:v>https://help.sonatype.com/en/analysis.html</x:v>
      </x:c>
    </x:row>
    <x:row r="37" ht="102" customHeight="1">
      <x:c r="A37" s="21" t="str">
        <x:v>SO-C03</x:v>
      </x:c>
      <x:c r="B37" s="21" t="str">
        <x:v>Sonatype Lifecycle</x:v>
      </x:c>
      <x:c r="C37" s="21" t="str">
        <x:v>C03</x:v>
      </x:c>
      <x:c r="D37" s="20" t="str">
        <x:v>Да</x:v>
      </x:c>
      <x:c r="E37" s="21" t="str">
        <x:v>Политика Lifecycle Security-Malicious использует категорию Malicious Code. Подтверждено выявление компонентов, отмеченных как вредоносные; карантин и Integrity Rating отдельного Firewall не включены.</x:v>
      </x:c>
      <x:c r="F37" s="21" t="str">
        <x:v>SO4</x:v>
      </x:c>
      <x:c r="G37" s="21" t="str">
        <x:v>Security Policies / CVSS Scoring; Firewall Specific Policies</x:v>
      </x:c>
      <x:c r="H37" s="21" t="str">
        <x:v>https://help.sonatype.com/en/security-policies.html</x:v>
      </x:c>
    </x:row>
    <x:row r="38" ht="102" customHeight="1">
      <x:c r="A38" s="21" t="str">
        <x:v>SO-C04</x:v>
      </x:c>
      <x:c r="B38" s="21" t="str">
        <x:v>Sonatype Lifecycle</x:v>
      </x:c>
      <x:c r="C38" s="21" t="str">
        <x:v>C04</x:v>
      </x:c>
      <x:c r="D38" s="20" t="str">
        <x:v>Не установлено</x:v>
      </x:c>
      <x:c r="E38" s="21" t="str">
        <x:v>В изученных разделах описан анализ компонентов и бинарных отпечатков; SAST собственного кода не подтверждён.</x:v>
      </x:c>
      <x:c r="F38" s="21" t="str">
        <x:v>SO1</x:v>
      </x:c>
      <x:c r="G38" s="21" t="str">
        <x:v>Analysis</x:v>
      </x:c>
      <x:c r="H38" s="21" t="str">
        <x:v>https://help.sonatype.com/en/analysis.html</x:v>
      </x:c>
    </x:row>
    <x:row r="39" ht="102" customHeight="1">
      <x:c r="A39" s="21" t="str">
        <x:v>SO-C05</x:v>
      </x:c>
      <x:c r="B39" s="21" t="str">
        <x:v>Sonatype Lifecycle</x:v>
      </x:c>
      <x:c r="C39" s="21" t="str">
        <x:v>C05</x:v>
      </x:c>
      <x:c r="D39" s="20" t="str">
        <x:v>Не установлено</x:v>
      </x:c>
      <x:c r="E39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39" s="21" t="str">
        <x:v>SO1; SO2; SO3</x:v>
      </x:c>
      <x:c r="G39" s="21" t="str">
        <x:v>Границы и функции выбранного модуля; разделы, перечисленные в реестре источников</x:v>
      </x:c>
      <x:c r="H39" s="21" t="str">
        <x:v>https://help.sonatype.com/en/analysis.html
https://help.sonatype.com/en/policy-actions.html
https://help.sonatype.com/en/policy-evaluation-in-source-control-management.html</x:v>
      </x:c>
    </x:row>
    <x:row r="40" ht="102" customHeight="1">
      <x:c r="A40" s="21" t="str">
        <x:v>SO-C06</x:v>
      </x:c>
      <x:c r="B40" s="21" t="str">
        <x:v>Sonatype Lifecycle</x:v>
      </x:c>
      <x:c r="C40" s="21" t="str">
        <x:v>C06</x:v>
      </x:c>
      <x:c r="D40" s="20" t="str">
        <x:v>Не установлено</x:v>
      </x:c>
      <x:c r="E40" s="21" t="str">
        <x:v>API сопоставляет участников GitHub с пользователями Lifecycle для назначения ролей. Разбор вклада авторов по изменениям и периодам этим не подтверждён.</x:v>
      </x:c>
      <x:c r="F40" s="21" t="str">
        <x:v>SO5</x:v>
      </x:c>
      <x:c r="G40" s="21" t="str">
        <x:v>Source Control REST API / Automatic Role Assignment; Configure User Mappings</x:v>
      </x:c>
      <x:c r="H40" s="21" t="str">
        <x:v>https://help.sonatype.com/en/source-control-rest-api.html</x:v>
      </x:c>
    </x:row>
    <x:row r="41" ht="102" customHeight="1">
      <x:c r="A41" s="21" t="str">
        <x:v>SO-C07</x:v>
      </x:c>
      <x:c r="B41" s="21" t="str">
        <x:v>Sonatype Lifecycle</x:v>
      </x:c>
      <x:c r="C41" s="21" t="str">
        <x:v>C07</x:v>
      </x:c>
      <x:c r="D41" s="20" t="str">
        <x:v>Не установлено</x:v>
      </x:c>
      <x:c r="E41" s="21" t="str">
        <x:v>В рассмотренных разделах не подтверждено отслеживание смены публикующих участников или владельцев пакета.</x:v>
      </x:c>
      <x:c r="F41" s="21" t="str">
        <x:v>SO1; SO2; SO3</x:v>
      </x:c>
      <x:c r="G41" s="21" t="str">
        <x:v>Границы и функции выбранного модуля; разделы, перечисленные в реестре источников</x:v>
      </x:c>
      <x:c r="H41" s="21" t="str">
        <x:v>https://help.sonatype.com/en/analysis.html
https://help.sonatype.com/en/policy-actions.html
https://help.sonatype.com/en/policy-evaluation-in-source-control-management.html</x:v>
      </x:c>
    </x:row>
    <x:row r="42" ht="102" customHeight="1">
      <x:c r="A42" s="21" t="str">
        <x:v>SO-C08</x:v>
      </x:c>
      <x:c r="B42" s="21" t="str">
        <x:v>Sonatype Lifecycle</x:v>
      </x:c>
      <x:c r="C42" s="21" t="str">
        <x:v>C08</x:v>
      </x:c>
      <x:c r="D42" s="20" t="str">
        <x:v>Не установлено</x:v>
      </x:c>
      <x:c r="E42" s="21" t="str">
        <x:v>В рассмотренных разделах не подтверждён анализ аффилиаций разработчиков и участия внешних организаций.</x:v>
      </x:c>
      <x:c r="F42" s="21" t="str">
        <x:v>SO1; SO2; SO3</x:v>
      </x:c>
      <x:c r="G42" s="21" t="str">
        <x:v>Границы и функции выбранного модуля; разделы, перечисленные в реестре источников</x:v>
      </x:c>
      <x:c r="H42" s="21" t="str">
        <x:v>https://help.sonatype.com/en/analysis.html
https://help.sonatype.com/en/policy-actions.html
https://help.sonatype.com/en/policy-evaluation-in-source-control-management.html</x:v>
      </x:c>
    </x:row>
    <x:row r="43" ht="102" customHeight="1">
      <x:c r="A43" s="21" t="str">
        <x:v>SO-C09</x:v>
      </x:c>
      <x:c r="B43" s="21" t="str">
        <x:v>Sonatype Lifecycle</x:v>
      </x:c>
      <x:c r="C43" s="21" t="str">
        <x:v>C09</x:v>
      </x:c>
      <x:c r="D43" s="20" t="str">
        <x:v>Да</x:v>
      </x:c>
      <x:c r="E43" s="21" t="str">
        <x:v>Компонент идентифицируется при анализе приложения; нарушение связано с компонентом и политикой.</x:v>
      </x:c>
      <x:c r="F43" s="21" t="str">
        <x:v>SO1; SO3</x:v>
      </x:c>
      <x:c r="G43" s="21" t="str">
        <x:v>Analysis; Policy Evaluation in Source Control Management</x:v>
      </x:c>
      <x:c r="H43" s="21" t="str">
        <x:v>https://help.sonatype.com/en/analysis.html
https://help.sonatype.com/en/policy-evaluation-in-source-control-management.html</x:v>
      </x:c>
    </x:row>
    <x:row r="44" ht="102" customHeight="1">
      <x:c r="A44" s="21" t="str">
        <x:v>SO-C10</x:v>
      </x:c>
      <x:c r="B44" s="21" t="str">
        <x:v>Sonatype Lifecycle</x:v>
      </x:c>
      <x:c r="C44" s="21" t="str">
        <x:v>C10</x:v>
      </x:c>
      <x:c r="D44" s="20" t="str">
        <x:v>Да</x:v>
      </x:c>
      <x:c r="E44" s="21" t="str">
        <x:v>Комментарий содержит нарушенную политику, компонент и описание проблемы.</x:v>
      </x:c>
      <x:c r="F44" s="21" t="str">
        <x:v>SO3</x:v>
      </x:c>
      <x:c r="G44" s="21" t="str">
        <x:v>How Lifecycle for SCM Works</x:v>
      </x:c>
      <x:c r="H44" s="21" t="str">
        <x:v>https://help.sonatype.com/en/policy-evaluation-in-source-control-management.html</x:v>
      </x:c>
    </x:row>
    <x:row r="45" ht="102" customHeight="1">
      <x:c r="A45" s="21" t="str">
        <x:v>SO-C11</x:v>
      </x:c>
      <x:c r="B45" s="21" t="str">
        <x:v>Sonatype Lifecycle</x:v>
      </x:c>
      <x:c r="C45" s="21" t="str">
        <x:v>C11</x:v>
      </x:c>
      <x:c r="D45" s="20" t="str">
        <x:v>Да</x:v>
      </x:c>
      <x:c r="E45" s="21" t="str">
        <x:v>Для нарушений предлагаются версии и автоматические PR при доступном исправлении. Auto PR имеют ограничения по SCM и приватности репозитория.</x:v>
      </x:c>
      <x:c r="F45" s="21" t="str">
        <x:v>SO3</x:v>
      </x:c>
      <x:c r="G45" s="21" t="str">
        <x:v>Lifecycle for SCM features</x:v>
      </x:c>
      <x:c r="H45" s="21" t="str">
        <x:v>https://help.sonatype.com/en/policy-evaluation-in-source-control-management.html</x:v>
      </x:c>
    </x:row>
    <x:row r="46" ht="102" customHeight="1">
      <x:c r="A46" s="21" t="str">
        <x:v>SK-C01</x:v>
      </x:c>
      <x:c r="B46" s="21" t="str">
        <x:v>Socket</x:v>
      </x:c>
      <x:c r="C46" s="21" t="str">
        <x:v>C01</x:v>
      </x:c>
      <x:c r="D46" s="20" t="str">
        <x:v>Да</x:v>
      </x:c>
      <x:c r="E46" s="21" t="str">
        <x:v>Изменения манифестов и lock-файлов используются для анализа добавленных зависимостей.</x:v>
      </x:c>
      <x:c r="F46" s="21" t="str">
        <x:v>SK3</x:v>
      </x:c>
      <x:c r="G46" s="21" t="str">
        <x:v>Quick overview of Socket for GitHub</x:v>
      </x:c>
      <x:c r="H46" s="21" t="str">
        <x:v>https://docs.socket.dev/docs/socket-for-github</x:v>
      </x:c>
    </x:row>
    <x:row r="47" ht="102" customHeight="1">
      <x:c r="A47" s="21" t="str">
        <x:v>SK-C02</x:v>
      </x:c>
      <x:c r="B47" s="21" t="str">
        <x:v>Socket</x:v>
      </x:c>
      <x:c r="C47" s="21" t="str">
        <x:v>C02</x:v>
      </x:c>
      <x:c r="D47" s="20" t="str">
        <x:v>Да</x:v>
      </x:c>
      <x:c r="E47" s="21" t="str">
        <x:v>Описаны предупреждения о публично известных уязвимостях пакетов.</x:v>
      </x:c>
      <x:c r="F47" s="21" t="str">
        <x:v>SK5</x:v>
      </x:c>
      <x:c r="G47" s="21" t="str">
        <x:v>Vulnerability</x:v>
      </x:c>
      <x:c r="H47" s="21" t="str">
        <x:v>https://docs.socket.dev/docs/vulnerability</x:v>
      </x:c>
    </x:row>
    <x:row r="48" ht="102" customHeight="1">
      <x:c r="A48" s="21" t="str">
        <x:v>SK-C03</x:v>
      </x:c>
      <x:c r="B48" s="21" t="str">
        <x:v>Socket</x:v>
      </x:c>
      <x:c r="C48" s="21" t="str">
        <x:v>C03</x:v>
      </x:c>
      <x:c r="D48" s="20" t="str">
        <x:v>Да</x:v>
      </x:c>
      <x:c r="E48" s="21" t="str">
        <x:v>Выделены известное вредоносное ПО, подозрительные install scripts, обфускация и смена владельца; индикаторы не равнозначны доказанной атаке.</x:v>
      </x:c>
      <x:c r="F48" s="21" t="str">
        <x:v>SK1</x:v>
      </x:c>
      <x:c r="G48" s="21" t="str">
        <x:v>Supply Chain Risk / таблица предупреждений</x:v>
      </x:c>
      <x:c r="H48" s="21" t="str">
        <x:v>https://docs.socket.dev/docs/supply-chain-risk</x:v>
      </x:c>
    </x:row>
    <x:row r="49" ht="102" customHeight="1">
      <x:c r="A49" s="21" t="str">
        <x:v>SK-C04</x:v>
      </x:c>
      <x:c r="B49" s="21" t="str">
        <x:v>Socket</x:v>
      </x:c>
      <x:c r="C49" s="21" t="str">
        <x:v>C04</x:v>
      </x:c>
      <x:c r="D49" s="20" t="str">
        <x:v>Нет</x:v>
      </x:c>
      <x:c r="E49" s="21" t="str">
        <x:v>FAQ прямо ограничивает анализ сторонними пакетами и сообщает, что собственный код заказчика не анализируется.</x:v>
      </x:c>
      <x:c r="F49" s="21" t="str">
        <x:v>SK2</x:v>
      </x:c>
      <x:c r="G49" s="21" t="str">
        <x:v>Does Socket capture any PII?; How does code analysis work?</x:v>
      </x:c>
      <x:c r="H49" s="21" t="str">
        <x:v>https://docs.socket.dev/docs/faq</x:v>
      </x:c>
    </x:row>
    <x:row r="50" ht="102" customHeight="1">
      <x:c r="A50" s="21" t="str">
        <x:v>SK-C05</x:v>
      </x:c>
      <x:c r="B50" s="21" t="str">
        <x:v>Socket</x:v>
      </x:c>
      <x:c r="C50" s="21" t="str">
        <x:v>C05</x:v>
      </x:c>
      <x:c r="D50" s="20" t="str">
        <x:v>Не установлено</x:v>
      </x:c>
      <x:c r="E50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50" s="21" t="str">
        <x:v>SK1; SK2; SK3</x:v>
      </x:c>
      <x:c r="G50" s="21" t="str">
        <x:v>Границы и функции выбранного модуля; разделы, перечисленные в реестре источников</x:v>
      </x:c>
      <x:c r="H50" s="21" t="str">
        <x:v>https://docs.socket.dev/docs/supply-chain-risk
https://docs.socket.dev/docs/faq
https://docs.socket.dev/docs/socket-for-github</x:v>
      </x:c>
    </x:row>
    <x:row r="51" ht="102" customHeight="1">
      <x:c r="A51" s="21" t="str">
        <x:v>SK-C06</x:v>
      </x:c>
      <x:c r="B51" s="21" t="str">
        <x:v>Socket</x:v>
      </x:c>
      <x:c r="C51" s="21" t="str">
        <x:v>C06</x:v>
      </x:c>
      <x:c r="D51" s="20" t="str">
        <x:v>Не установлено</x:v>
      </x:c>
      <x:c r="E51" s="21" t="str">
        <x:v>Описаны история активности сопровождающих и сигналы риска пакета. Разбор вклада отдельных авторов по изменениям репозитория в FAQ не раскрыт.</x:v>
      </x:c>
      <x:c r="F51" s="21" t="str">
        <x:v>SK2</x:v>
      </x:c>
      <x:c r="G51" s="21" t="str">
        <x:v>FAQ / How does Socket's code analysis work?</x:v>
      </x:c>
      <x:c r="H51" s="21" t="str">
        <x:v>https://docs.socket.dev/docs/faq</x:v>
      </x:c>
    </x:row>
    <x:row r="52" ht="102" customHeight="1">
      <x:c r="A52" s="21" t="str">
        <x:v>SK-C07</x:v>
      </x:c>
      <x:c r="B52" s="21" t="str">
        <x:v>Socket</x:v>
      </x:c>
      <x:c r="C52" s="21" t="str">
        <x:v>C07</x:v>
      </x:c>
      <x:c r="D52" s="20" t="str">
        <x:v>Да</x:v>
      </x:c>
      <x:c r="E52" s="21" t="str">
        <x:v>Описаны сигналы New author и Unstable ownership для изменений публикующих участников пакета.</x:v>
      </x:c>
      <x:c r="F52" s="21" t="str">
        <x:v>SK1</x:v>
      </x:c>
      <x:c r="G52" s="21" t="str">
        <x:v>Supply Chain Risk: New author; Unstable ownership</x:v>
      </x:c>
      <x:c r="H52" s="21" t="str">
        <x:v>https://docs.socket.dev/docs/supply-chain-risk</x:v>
      </x:c>
    </x:row>
    <x:row r="53" ht="102" customHeight="1">
      <x:c r="A53" s="21" t="str">
        <x:v>SK-C08</x:v>
      </x:c>
      <x:c r="B53" s="21" t="str">
        <x:v>Socket</x:v>
      </x:c>
      <x:c r="C53" s="21" t="str">
        <x:v>C08</x:v>
      </x:c>
      <x:c r="D53" s="20" t="str">
        <x:v>Не установлено</x:v>
      </x:c>
      <x:c r="E53" s="21" t="str">
        <x:v>В рассмотренных разделах не подтверждён анализ аффилиаций разработчиков и участия внешних организаций.</x:v>
      </x:c>
      <x:c r="F53" s="21" t="str">
        <x:v>SK1; SK2; SK3</x:v>
      </x:c>
      <x:c r="G53" s="21" t="str">
        <x:v>Границы и функции выбранного модуля; разделы, перечисленные в реестре источников</x:v>
      </x:c>
      <x:c r="H53" s="21" t="str">
        <x:v>https://docs.socket.dev/docs/supply-chain-risk
https://docs.socket.dev/docs/faq
https://docs.socket.dev/docs/socket-for-github</x:v>
      </x:c>
    </x:row>
    <x:row r="54" ht="102" customHeight="1">
      <x:c r="A54" s="21" t="str">
        <x:v>SK-C09</x:v>
      </x:c>
      <x:c r="B54" s="21" t="str">
        <x:v>Socket</x:v>
      </x:c>
      <x:c r="C54" s="21" t="str">
        <x:v>C09</x:v>
      </x:c>
      <x:c r="D54" s="20" t="str">
        <x:v>Да</x:v>
      </x:c>
      <x:c r="E54" s="21" t="str">
        <x:v>Сигнал относится к пакету и его версии; интеграция связывает новые зависимости с PR.</x:v>
      </x:c>
      <x:c r="F54" s="21" t="str">
        <x:v>SK1; SK3</x:v>
      </x:c>
      <x:c r="G54" s="21" t="str">
        <x:v>Supply Chain Risk; Pull request alerts</x:v>
      </x:c>
      <x:c r="H54" s="21" t="str">
        <x:v>https://docs.socket.dev/docs/supply-chain-risk
https://docs.socket.dev/docs/socket-for-github</x:v>
      </x:c>
    </x:row>
    <x:row r="55" ht="102" customHeight="1">
      <x:c r="A55" s="21" t="str">
        <x:v>SK-C10</x:v>
      </x:c>
      <x:c r="B55" s="21" t="str">
        <x:v>Socket</x:v>
      </x:c>
      <x:c r="C55" s="21" t="str">
        <x:v>C10</x:v>
      </x:c>
      <x:c r="D55" s="20" t="str">
        <x:v>Да</x:v>
      </x:c>
      <x:c r="E55" s="21" t="str">
        <x:v>Тип предупреждения и поведение пакета поясняются в результатах.</x:v>
      </x:c>
      <x:c r="F55" s="21" t="str">
        <x:v>SK1; SK3</x:v>
      </x:c>
      <x:c r="G55" s="21" t="str">
        <x:v>Supply Chain Risk; Socket for GitHub</x:v>
      </x:c>
      <x:c r="H55" s="21" t="str">
        <x:v>https://docs.socket.dev/docs/supply-chain-risk
https://docs.socket.dev/docs/socket-for-github</x:v>
      </x:c>
    </x:row>
    <x:row r="56" ht="102" customHeight="1">
      <x:c r="A56" s="21" t="str">
        <x:v>SK-C11</x:v>
      </x:c>
      <x:c r="B56" s="21" t="str">
        <x:v>Socket</x:v>
      </x:c>
      <x:c r="C56" s="21" t="str">
        <x:v>C11</x:v>
      </x:c>
      <x:c r="D56" s="20" t="str">
        <x:v>Да</x:v>
      </x:c>
      <x:c r="E56" s="21" t="str">
        <x:v>Описано исправление проблем зависимостей; ограничения поддерживаемых экосистем следует учитывать отдельно.</x:v>
      </x:c>
      <x:c r="F56" s="21" t="str">
        <x:v>SK6</x:v>
      </x:c>
      <x:c r="G56" s="21" t="str">
        <x:v>Socket Fix</x:v>
      </x:c>
      <x:c r="H56" s="21" t="str">
        <x:v>https://docs.socket.dev/docs/socket-fix</x:v>
      </x:c>
    </x:row>
    <x:row r="57" ht="102" customHeight="1">
      <x:c r="A57" s="21" t="str">
        <x:v>DB-C01</x:v>
      </x:c>
      <x:c r="B57" s="21" t="str">
        <x:v>GitHub Dependabot</x:v>
      </x:c>
      <x:c r="C57" s="21" t="str">
        <x:v>C01</x:v>
      </x:c>
      <x:c r="D57" s="20" t="str">
        <x:v>Да</x:v>
      </x:c>
      <x:c r="E57" s="21" t="str">
        <x:v>Предупреждения используют граф зависимостей репозитория и связывают проблему с затронутым файлом.</x:v>
      </x:c>
      <x:c r="F57" s="21" t="str">
        <x:v>GH5</x:v>
      </x:c>
      <x:c r="G57" s="21" t="str">
        <x:v>When Dependabot sends alerts; Understanding alerts</x:v>
      </x:c>
      <x:c r="H57" s="21" t="str">
        <x:v>https://docs.github.com/en/code-security/concepts/supply-chain-security/dependabot-alerts</x:v>
      </x:c>
    </x:row>
    <x:row r="58" ht="102" customHeight="1">
      <x:c r="A58" s="21" t="str">
        <x:v>DB-C02</x:v>
      </x:c>
      <x:c r="B58" s="21" t="str">
        <x:v>GitHub Dependabot</x:v>
      </x:c>
      <x:c r="C58" s="21" t="str">
        <x:v>C02</x:v>
      </x:c>
      <x:c r="D58" s="20" t="str">
        <x:v>Да</x:v>
      </x:c>
      <x:c r="E58" s="21" t="str">
        <x:v>Dependabot сопоставляет зависимости с проверенными сведениями GitHub Advisory Database.</x:v>
      </x:c>
      <x:c r="F58" s="21" t="str">
        <x:v>GH5</x:v>
      </x:c>
      <x:c r="G58" s="21" t="str">
        <x:v>When Dependabot sends alerts; Limitations</x:v>
      </x:c>
      <x:c r="H58" s="21" t="str">
        <x:v>https://docs.github.com/en/code-security/concepts/supply-chain-security/dependabot-alerts</x:v>
      </x:c>
    </x:row>
    <x:row r="59" ht="102" customHeight="1">
      <x:c r="A59" s="21" t="str">
        <x:v>DB-C03</x:v>
      </x:c>
      <x:c r="B59" s="21" t="str">
        <x:v>GitHub Dependabot</x:v>
      </x:c>
      <x:c r="C59" s="21" t="str">
        <x:v>C03</x:v>
      </x:c>
      <x:c r="D59" s="20" t="str">
        <x:v>Да</x:v>
      </x:c>
      <x:c r="E59" s="21" t="str">
        <x:v>Malware alerts сообщают об известных вредоносных пакетах и версиях из базы; поведенческий поиск неизвестного бэкдора этим не подтверждается.</x:v>
      </x:c>
      <x:c r="F59" s="21" t="str">
        <x:v>GH6</x:v>
      </x:c>
      <x:c r="G59" s="21" t="str">
        <x:v>When Dependabot sends malware alerts; Limitations</x:v>
      </x:c>
      <x:c r="H59" s="21" t="str">
        <x:v>https://docs.github.com/en/code-security/concepts/supply-chain-security/malware-alerts</x:v>
      </x:c>
    </x:row>
    <x:row r="60" ht="102" customHeight="1">
      <x:c r="A60" s="21" t="str">
        <x:v>DB-C04</x:v>
      </x:c>
      <x:c r="B60" s="21" t="str">
        <x:v>GitHub Dependabot</x:v>
      </x:c>
      <x:c r="C60" s="21" t="str">
        <x:v>C04</x:v>
      </x:c>
      <x:c r="D60" s="20" t="str">
        <x:v>Не установлено</x:v>
      </x:c>
      <x:c r="E60" s="21" t="str">
        <x:v>В рассмотренных разделах не подтвержден SAST исходного кода проекта в границах выбранного модуля.</x:v>
      </x:c>
      <x:c r="F60" s="21" t="str">
        <x:v>GH5; GH6; GH7</x:v>
      </x:c>
      <x:c r="G60" s="21" t="str">
        <x:v>Границы и функции выбранного модуля; разделы, перечисленные в реестре источников</x:v>
      </x:c>
      <x:c r="H60" s="21" t="str">
        <x:v>https://docs.github.com/en/code-security/concepts/supply-chain-security/dependabot-alerts
https://docs.github.com/en/code-security/concepts/supply-chain-security/malware-alerts
https://docs.github.com/en/code-security/concepts/supply-chain-security/dependabot-security-updates</x:v>
      </x:c>
    </x:row>
    <x:row r="61" ht="102" customHeight="1">
      <x:c r="A61" s="21" t="str">
        <x:v>DB-C05</x:v>
      </x:c>
      <x:c r="B61" s="21" t="str">
        <x:v>GitHub Dependabot</x:v>
      </x:c>
      <x:c r="C61" s="21" t="str">
        <x:v>C05</x:v>
      </x:c>
      <x:c r="D61" s="20" t="str">
        <x:v>Не установлено</x:v>
      </x:c>
      <x:c r="E61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61" s="21" t="str">
        <x:v>GH5; GH6; GH7</x:v>
      </x:c>
      <x:c r="G61" s="21" t="str">
        <x:v>Границы и функции выбранного модуля; разделы, перечисленные в реестре источников</x:v>
      </x:c>
      <x:c r="H61" s="21" t="str">
        <x:v>https://docs.github.com/en/code-security/concepts/supply-chain-security/dependabot-alerts
https://docs.github.com/en/code-security/concepts/supply-chain-security/malware-alerts
https://docs.github.com/en/code-security/concepts/supply-chain-security/dependabot-security-updates</x:v>
      </x:c>
    </x:row>
    <x:row r="62" ht="102" customHeight="1">
      <x:c r="A62" s="21" t="str">
        <x:v>DB-C06</x:v>
      </x:c>
      <x:c r="B62" s="21" t="str">
        <x:v>GitHub Dependabot</x:v>
      </x:c>
      <x:c r="C62" s="21" t="str">
        <x:v>C06</x:v>
      </x:c>
      <x:c r="D62" s="20" t="str">
        <x:v>Не установлено</x:v>
      </x:c>
      <x:c r="E62" s="21" t="str">
        <x:v>В рассмотренных разделах не подтверждено сопоставление авторов коммитов и их вклада; данные о пакете не заменяют историю разработки.</x:v>
      </x:c>
      <x:c r="F62" s="21" t="str">
        <x:v>GH5; GH6; GH7</x:v>
      </x:c>
      <x:c r="G62" s="21" t="str">
        <x:v>Границы и функции выбранного модуля; разделы, перечисленные в реестре источников</x:v>
      </x:c>
      <x:c r="H62" s="21" t="str">
        <x:v>https://docs.github.com/en/code-security/concepts/supply-chain-security/dependabot-alerts
https://docs.github.com/en/code-security/concepts/supply-chain-security/malware-alerts
https://docs.github.com/en/code-security/concepts/supply-chain-security/dependabot-security-updates</x:v>
      </x:c>
    </x:row>
    <x:row r="63" ht="102" customHeight="1">
      <x:c r="A63" s="21" t="str">
        <x:v>DB-C07</x:v>
      </x:c>
      <x:c r="B63" s="21" t="str">
        <x:v>GitHub Dependabot</x:v>
      </x:c>
      <x:c r="C63" s="21" t="str">
        <x:v>C07</x:v>
      </x:c>
      <x:c r="D63" s="20" t="str">
        <x:v>Не установлено</x:v>
      </x:c>
      <x:c r="E63" s="21" t="str">
        <x:v>В рассмотренных разделах не подтверждено отслеживание смены публикующих участников или владельцев пакета.</x:v>
      </x:c>
      <x:c r="F63" s="21" t="str">
        <x:v>GH5; GH6; GH7</x:v>
      </x:c>
      <x:c r="G63" s="21" t="str">
        <x:v>Границы и функции выбранного модуля; разделы, перечисленные в реестре источников</x:v>
      </x:c>
      <x:c r="H63" s="21" t="str">
        <x:v>https://docs.github.com/en/code-security/concepts/supply-chain-security/dependabot-alerts
https://docs.github.com/en/code-security/concepts/supply-chain-security/malware-alerts
https://docs.github.com/en/code-security/concepts/supply-chain-security/dependabot-security-updates</x:v>
      </x:c>
    </x:row>
    <x:row r="64" ht="102" customHeight="1">
      <x:c r="A64" s="21" t="str">
        <x:v>DB-C08</x:v>
      </x:c>
      <x:c r="B64" s="21" t="str">
        <x:v>GitHub Dependabot</x:v>
      </x:c>
      <x:c r="C64" s="21" t="str">
        <x:v>C08</x:v>
      </x:c>
      <x:c r="D64" s="20" t="str">
        <x:v>Не установлено</x:v>
      </x:c>
      <x:c r="E64" s="21" t="str">
        <x:v>В рассмотренных разделах не подтверждён анализ аффилиаций разработчиков и участия внешних организаций.</x:v>
      </x:c>
      <x:c r="F64" s="21" t="str">
        <x:v>GH5; GH6; GH7</x:v>
      </x:c>
      <x:c r="G64" s="21" t="str">
        <x:v>Границы и функции выбранного модуля; разделы, перечисленные в реестре источников</x:v>
      </x:c>
      <x:c r="H64" s="21" t="str">
        <x:v>https://docs.github.com/en/code-security/concepts/supply-chain-security/dependabot-alerts
https://docs.github.com/en/code-security/concepts/supply-chain-security/malware-alerts
https://docs.github.com/en/code-security/concepts/supply-chain-security/dependabot-security-updates</x:v>
      </x:c>
    </x:row>
    <x:row r="65" ht="102" customHeight="1">
      <x:c r="A65" s="21" t="str">
        <x:v>DB-C09</x:v>
      </x:c>
      <x:c r="B65" s="21" t="str">
        <x:v>GitHub Dependabot</x:v>
      </x:c>
      <x:c r="C65" s="21" t="str">
        <x:v>C09</x:v>
      </x:c>
      <x:c r="D65" s="20" t="str">
        <x:v>Да</x:v>
      </x:c>
      <x:c r="E65" s="21" t="str">
        <x:v>Предупреждение содержит пакет, затронутые версии и файл; результат относится к зависимостям репозитория.</x:v>
      </x:c>
      <x:c r="F65" s="21" t="str">
        <x:v>GH5; GH6</x:v>
      </x:c>
      <x:c r="G65" s="21" t="str">
        <x:v>Understanding alerts; Alert contents</x:v>
      </x:c>
      <x:c r="H65" s="21" t="str">
        <x:v>https://docs.github.com/en/code-security/concepts/supply-chain-security/dependabot-alerts
https://docs.github.com/en/code-security/concepts/supply-chain-security/malware-alerts</x:v>
      </x:c>
    </x:row>
    <x:row r="66" ht="102" customHeight="1">
      <x:c r="A66" s="21" t="str">
        <x:v>DB-C10</x:v>
      </x:c>
      <x:c r="B66" s="21" t="str">
        <x:v>GitHub Dependabot</x:v>
      </x:c>
      <x:c r="C66" s="21" t="str">
        <x:v>C10</x:v>
      </x:c>
      <x:c r="D66" s="20" t="str">
        <x:v>Да</x:v>
      </x:c>
      <x:c r="E66" s="21" t="str">
        <x:v>В предупреждении указаны затронутый файл, сведения о проблеме и версии компонента.</x:v>
      </x:c>
      <x:c r="F66" s="21" t="str">
        <x:v>GH5; GH6</x:v>
      </x:c>
      <x:c r="G66" s="21" t="str">
        <x:v>Understanding alerts; Alert contents</x:v>
      </x:c>
      <x:c r="H66" s="21" t="str">
        <x:v>https://docs.github.com/en/code-security/concepts/supply-chain-security/dependabot-alerts
https://docs.github.com/en/code-security/concepts/supply-chain-security/malware-alerts</x:v>
      </x:c>
    </x:row>
    <x:row r="67" ht="102" customHeight="1">
      <x:c r="A67" s="21" t="str">
        <x:v>DB-C11</x:v>
      </x:c>
      <x:c r="B67" s="21" t="str">
        <x:v>GitHub Dependabot</x:v>
      </x:c>
      <x:c r="C67" s="21" t="str">
        <x:v>C11</x:v>
      </x:c>
      <x:c r="D67" s="20" t="str">
        <x:v>Да</x:v>
      </x:c>
      <x:c r="E67" s="21" t="str">
        <x:v>Security updates создают PR с исправленной версией, когда обновление возможно; malware alerts содержат шаги устранения.</x:v>
      </x:c>
      <x:c r="F67" s="21" t="str">
        <x:v>GH7; GH6</x:v>
      </x:c>
      <x:c r="G67" s="21" t="str">
        <x:v>About Dependabot security updates; Alert contents</x:v>
      </x:c>
      <x:c r="H67" s="21" t="str">
        <x:v>https://docs.github.com/en/code-security/concepts/supply-chain-security/dependabot-security-updates
https://docs.github.com/en/code-security/concepts/supply-chain-security/malware-alerts</x:v>
      </x:c>
    </x:row>
    <x:row r="68" ht="102" customHeight="1">
      <x:c r="A68" s="21" t="str">
        <x:v>QL-C01</x:v>
      </x:c>
      <x:c r="B68" s="21" t="str">
        <x:v>GitHub CodeQL</x:v>
      </x:c>
      <x:c r="C68" s="21" t="str">
        <x:v>C01</x:v>
      </x:c>
      <x:c r="D68" s="20" t="str">
        <x:v>Не установлено</x:v>
      </x:c>
      <x:c r="E68" s="21" t="str">
        <x:v>В изученных разделах база CodeQL описывает код; инвентаризация сторонних компонентов как отдельный результат не подтверждена.</x:v>
      </x:c>
      <x:c r="F68" s="21" t="str">
        <x:v>GH1</x:v>
      </x:c>
      <x:c r="G68" s="21" t="str">
        <x:v>About CodeQL</x:v>
      </x:c>
      <x:c r="H68" s="21" t="str">
        <x:v>https://docs.github.com/en/code-security/code-scanning/introduction-to-code-scanning/about-code-scanning-with-codeql</x:v>
      </x:c>
    </x:row>
    <x:row r="69" ht="102" customHeight="1">
      <x:c r="A69" s="21" t="str">
        <x:v>QL-C02</x:v>
      </x:c>
      <x:c r="B69" s="21" t="str">
        <x:v>GitHub CodeQL</x:v>
      </x:c>
      <x:c r="C69" s="21" t="str">
        <x:v>C02</x:v>
      </x:c>
      <x:c r="D69" s="20" t="str">
        <x:v>Не установлено</x:v>
      </x:c>
      <x:c r="E69" s="21" t="str">
        <x:v>В изученных разделах анализируются дефекты кода; сопоставление зависимостей с опубликованными уязвимостями здесь не описано.</x:v>
      </x:c>
      <x:c r="F69" s="21" t="str">
        <x:v>GH1</x:v>
      </x:c>
      <x:c r="G69" s="21" t="str">
        <x:v>Code scanning with CodeQL</x:v>
      </x:c>
      <x:c r="H69" s="21" t="str">
        <x:v>https://docs.github.com/en/code-security/code-scanning/introduction-to-code-scanning/about-code-scanning-with-codeql</x:v>
      </x:c>
    </x:row>
    <x:row r="70" ht="102" customHeight="1">
      <x:c r="A70" s="21" t="str">
        <x:v>QL-C03</x:v>
      </x:c>
      <x:c r="B70" s="21" t="str">
        <x:v>GitHub CodeQL</x:v>
      </x:c>
      <x:c r="C70" s="21" t="str">
        <x:v>C03</x:v>
      </x:c>
      <x:c r="D70" s="20" t="str">
        <x:v>Не установлено</x:v>
      </x:c>
      <x:c r="E70" s="21" t="str">
        <x:v>В изученных разделах поиск ошибок безопасности не подтверждает отдельный детектор вредоносных пакетов.</x:v>
      </x:c>
      <x:c r="F70" s="21" t="str">
        <x:v>GH1</x:v>
      </x:c>
      <x:c r="G70" s="21" t="str">
        <x:v>CodeQL queries</x:v>
      </x:c>
      <x:c r="H70" s="21" t="str">
        <x:v>https://docs.github.com/en/code-security/code-scanning/introduction-to-code-scanning/about-code-scanning-with-codeql</x:v>
      </x:c>
    </x:row>
    <x:row r="71" ht="102" customHeight="1">
      <x:c r="A71" s="21" t="str">
        <x:v>QL-C04</x:v>
      </x:c>
      <x:c r="B71" s="21" t="str">
        <x:v>GitHub CodeQL</x:v>
      </x:c>
      <x:c r="C71" s="21" t="str">
        <x:v>C04</x:v>
      </x:c>
      <x:c r="D71" s="20" t="str">
        <x:v>Да</x:v>
      </x:c>
      <x:c r="E71" s="21" t="str">
        <x:v>Код представляется базой данных и проверяется запросами для поддерживаемых языков.</x:v>
      </x:c>
      <x:c r="F71" s="21" t="str">
        <x:v>GH1</x:v>
      </x:c>
      <x:c r="G71" s="21" t="str">
        <x:v>About CodeQL</x:v>
      </x:c>
      <x:c r="H71" s="21" t="str">
        <x:v>https://docs.github.com/en/code-security/code-scanning/introduction-to-code-scanning/about-code-scanning-with-codeql</x:v>
      </x:c>
    </x:row>
    <x:row r="72" ht="102" customHeight="1">
      <x:c r="A72" s="21" t="str">
        <x:v>QL-C05</x:v>
      </x:c>
      <x:c r="B72" s="21" t="str">
        <x:v>GitHub CodeQL</x:v>
      </x:c>
      <x:c r="C72" s="21" t="str">
        <x:v>C05</x:v>
      </x:c>
      <x:c r="D72" s="20" t="str">
        <x:v>Не установлено</x:v>
      </x:c>
      <x:c r="E72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72" s="21" t="str">
        <x:v>GH1; GH8</x:v>
      </x:c>
      <x:c r="G72" s="21" t="str">
        <x:v>Границы и функции выбранного модуля; разделы, перечисленные в реестре источников</x:v>
      </x:c>
      <x:c r="H72" s="21" t="str">
        <x:v>https://docs.github.com/en/code-security/code-scanning/introduction-to-code-scanning/about-code-scanning-with-codeql
https://docs.github.com/en/code-security/concepts/code-scanning/code-scanning-alerts</x:v>
      </x:c>
    </x:row>
    <x:row r="73" ht="102" customHeight="1">
      <x:c r="A73" s="21" t="str">
        <x:v>QL-C06</x:v>
      </x:c>
      <x:c r="B73" s="21" t="str">
        <x:v>GitHub CodeQL</x:v>
      </x:c>
      <x:c r="C73" s="21" t="str">
        <x:v>C06</x:v>
      </x:c>
      <x:c r="D73" s="20" t="str">
        <x:v>Не установлено</x:v>
      </x:c>
      <x:c r="E73" s="21" t="str">
        <x:v>В рассмотренных разделах не подтверждено сопоставление авторов коммитов и их вклада; данные о пакете не заменяют историю разработки.</x:v>
      </x:c>
      <x:c r="F73" s="21" t="str">
        <x:v>GH1; GH8</x:v>
      </x:c>
      <x:c r="G73" s="21" t="str">
        <x:v>Границы и функции выбранного модуля; разделы, перечисленные в реестре источников</x:v>
      </x:c>
      <x:c r="H73" s="21" t="str">
        <x:v>https://docs.github.com/en/code-security/code-scanning/introduction-to-code-scanning/about-code-scanning-with-codeql
https://docs.github.com/en/code-security/concepts/code-scanning/code-scanning-alerts</x:v>
      </x:c>
    </x:row>
    <x:row r="74" ht="102" customHeight="1">
      <x:c r="A74" s="21" t="str">
        <x:v>QL-C07</x:v>
      </x:c>
      <x:c r="B74" s="21" t="str">
        <x:v>GitHub CodeQL</x:v>
      </x:c>
      <x:c r="C74" s="21" t="str">
        <x:v>C07</x:v>
      </x:c>
      <x:c r="D74" s="20" t="str">
        <x:v>Не установлено</x:v>
      </x:c>
      <x:c r="E74" s="21" t="str">
        <x:v>В рассмотренных разделах не подтверждено отслеживание смены публикующих участников или владельцев пакета.</x:v>
      </x:c>
      <x:c r="F74" s="21" t="str">
        <x:v>GH1; GH8</x:v>
      </x:c>
      <x:c r="G74" s="21" t="str">
        <x:v>Границы и функции выбранного модуля; разделы, перечисленные в реестре источников</x:v>
      </x:c>
      <x:c r="H74" s="21" t="str">
        <x:v>https://docs.github.com/en/code-security/code-scanning/introduction-to-code-scanning/about-code-scanning-with-codeql
https://docs.github.com/en/code-security/concepts/code-scanning/code-scanning-alerts</x:v>
      </x:c>
    </x:row>
    <x:row r="75" ht="102" customHeight="1">
      <x:c r="A75" s="21" t="str">
        <x:v>QL-C08</x:v>
      </x:c>
      <x:c r="B75" s="21" t="str">
        <x:v>GitHub CodeQL</x:v>
      </x:c>
      <x:c r="C75" s="21" t="str">
        <x:v>C08</x:v>
      </x:c>
      <x:c r="D75" s="20" t="str">
        <x:v>Не установлено</x:v>
      </x:c>
      <x:c r="E75" s="21" t="str">
        <x:v>В рассмотренных разделах не подтверждён анализ аффилиаций разработчиков и участия внешних организаций.</x:v>
      </x:c>
      <x:c r="F75" s="21" t="str">
        <x:v>GH1; GH8</x:v>
      </x:c>
      <x:c r="G75" s="21" t="str">
        <x:v>Границы и функции выбранного модуля; разделы, перечисленные в реестре источников</x:v>
      </x:c>
      <x:c r="H75" s="21" t="str">
        <x:v>https://docs.github.com/en/code-security/code-scanning/introduction-to-code-scanning/about-code-scanning-with-codeql
https://docs.github.com/en/code-security/concepts/code-scanning/code-scanning-alerts</x:v>
      </x:c>
    </x:row>
    <x:row r="76" ht="102" customHeight="1">
      <x:c r="A76" s="21" t="str">
        <x:v>QL-C09</x:v>
      </x:c>
      <x:c r="B76" s="21" t="str">
        <x:v>GitHub CodeQL</x:v>
      </x:c>
      <x:c r="C76" s="21" t="str">
        <x:v>C09</x:v>
      </x:c>
      <x:c r="D76" s="20" t="str">
        <x:v>Да</x:v>
      </x:c>
      <x:c r="E76" s="21" t="str">
        <x:v>Предупреждение связано с участком кода и затронутой ветвью; состояние по ветвям может различаться.</x:v>
      </x:c>
      <x:c r="F76" s="21" t="str">
        <x:v>GH8</x:v>
      </x:c>
      <x:c r="G76" s="21" t="str">
        <x:v>About alert details</x:v>
      </x:c>
      <x:c r="H76" s="21" t="str">
        <x:v>https://docs.github.com/en/code-security/concepts/code-scanning/code-scanning-alerts</x:v>
      </x:c>
    </x:row>
    <x:row r="77" ht="102" customHeight="1">
      <x:c r="A77" s="21" t="str">
        <x:v>QL-C10</x:v>
      </x:c>
      <x:c r="B77" s="21" t="str">
        <x:v>GitHub CodeQL</x:v>
      </x:c>
      <x:c r="C77" s="21" t="str">
        <x:v>C10</x:v>
      </x:c>
      <x:c r="D77" s="20" t="str">
        <x:v>Да</x:v>
      </x:c>
      <x:c r="E77" s="21" t="str">
        <x:v>Проблемы кода представлены результатами известных запросов и code scanning alerts.</x:v>
      </x:c>
      <x:c r="F77" s="21" t="str">
        <x:v>GH1</x:v>
      </x:c>
      <x:c r="G77" s="21" t="str">
        <x:v>About CodeQL; CodeQL queries</x:v>
      </x:c>
      <x:c r="H77" s="21" t="str">
        <x:v>https://docs.github.com/en/code-security/code-scanning/introduction-to-code-scanning/about-code-scanning-with-codeql</x:v>
      </x:c>
    </x:row>
    <x:row r="78" ht="102" customHeight="1">
      <x:c r="A78" s="21" t="str">
        <x:v>QL-C11</x:v>
      </x:c>
      <x:c r="B78" s="21" t="str">
        <x:v>GitHub CodeQL</x:v>
      </x:c>
      <x:c r="C78" s="21" t="str">
        <x:v>C11</x:v>
      </x:c>
      <x:c r="D78" s="20" t="str">
        <x:v>Да</x:v>
      </x:c>
      <x:c r="E78" s="21" t="str">
        <x:v>Для предупреждений CodeQL документация прямо указывает сведения о том, как исправить проблему; автоматический Copilot Autofix не является условием этой оценки.</x:v>
      </x:c>
      <x:c r="F78" s="21" t="str">
        <x:v>GH8</x:v>
      </x:c>
      <x:c r="G78" s="21" t="str">
        <x:v>About alert details</x:v>
      </x:c>
      <x:c r="H78" s="21" t="str">
        <x:v>https://docs.github.com/en/code-security/concepts/code-scanning/code-scanning-alerts</x:v>
      </x:c>
    </x:row>
    <x:row r="79" ht="102" customHeight="1">
      <x:c r="A79" s="21" t="str">
        <x:v>SC-C01</x:v>
      </x:c>
      <x:c r="B79" s="21" t="str">
        <x:v>OpenSSF Scorecard</x:v>
      </x:c>
      <x:c r="C79" s="21" t="str">
        <x:v>C01</x:v>
      </x:c>
      <x:c r="D79" s="20" t="str">
        <x:v>Не установлено</x:v>
      </x:c>
      <x:c r="E79" s="21" t="str">
        <x:v>Проверка SBOM устанавливает наличие файла или артефакта SBOM; Vulnerabilities обращается к OSV. Выдача или импорт перечня зависимостей как результата C01 в этих разделах не подтверждены.</x:v>
      </x:c>
      <x:c r="F79" s="21" t="str">
        <x:v>SC2</x:v>
      </x:c>
      <x:c r="G79" s="21" t="str">
        <x:v>Check Documentation / SBOM; Vulnerabilities</x:v>
      </x:c>
      <x:c r="H79" s="21" t="str">
        <x:v>https://raw.githubusercontent.com/ossf/scorecard/main/docs/checks.md</x:v>
      </x:c>
    </x:row>
    <x:row r="80" ht="102" customHeight="1">
      <x:c r="A80" s="21" t="str">
        <x:v>SC-C02</x:v>
      </x:c>
      <x:c r="B80" s="21" t="str">
        <x:v>OpenSSF Scorecard</x:v>
      </x:c>
      <x:c r="C80" s="21" t="str">
        <x:v>C02</x:v>
      </x:c>
      <x:c r="D80" s="20" t="str">
        <x:v>Да</x:v>
      </x:c>
      <x:c r="E80" s="21" t="str">
        <x:v>Проверка Vulnerabilities использует OSV для известных неисправленных уязвимостей проекта и зависимостей.</x:v>
      </x:c>
      <x:c r="F80" s="21" t="str">
        <x:v>SC2</x:v>
      </x:c>
      <x:c r="G80" s="21" t="str">
        <x:v>Vulnerabilities</x:v>
      </x:c>
      <x:c r="H80" s="21" t="str">
        <x:v>https://raw.githubusercontent.com/ossf/scorecard/main/docs/checks.md</x:v>
      </x:c>
    </x:row>
    <x:row r="81" ht="102" customHeight="1">
      <x:c r="A81" s="21" t="str">
        <x:v>SC-C03</x:v>
      </x:c>
      <x:c r="B81" s="21" t="str">
        <x:v>OpenSSF Scorecard</x:v>
      </x:c>
      <x:c r="C81" s="21" t="str">
        <x:v>C03</x:v>
      </x:c>
      <x:c r="D81" s="20" t="str">
        <x:v>Не установлено</x:v>
      </x:c>
      <x:c r="E81" s="21" t="str">
        <x:v>В рассмотренных разделах выбранного модуля не подтвержден поиск вредоносных пакетов или подозрительного поведения пакета.</x:v>
      </x:c>
      <x:c r="F81" s="21" t="str">
        <x:v>SC1; SC2</x:v>
      </x:c>
      <x:c r="G81" s="21" t="str">
        <x:v>Границы и функции выбранного модуля; разделы, перечисленные в реестре источников</x:v>
      </x:c>
      <x:c r="H81" s="21" t="str">
        <x:v>https://raw.githubusercontent.com/ossf/scorecard/main/README.md
https://raw.githubusercontent.com/ossf/scorecard/main/docs/checks.md</x:v>
      </x:c>
    </x:row>
    <x:row r="82" ht="102" customHeight="1">
      <x:c r="A82" s="21" t="str">
        <x:v>SC-C04</x:v>
      </x:c>
      <x:c r="B82" s="21" t="str">
        <x:v>OpenSSF Scorecard</x:v>
      </x:c>
      <x:c r="C82" s="21" t="str">
        <x:v>C04</x:v>
      </x:c>
      <x:c r="D82" s="20" t="str">
        <x:v>Не установлено</x:v>
      </x:c>
      <x:c r="E82" s="21" t="str">
        <x:v>Проверка SAST ищет признаки использования CodeQL, SonarCloud и соответствующих workflow. Это не подтверждает самостоятельный SAST прикладного кода; Dangerous-Workflow отдельно проверяет опасные шаблоны CI.</x:v>
      </x:c>
      <x:c r="F82" s="21" t="str">
        <x:v>SC2</x:v>
      </x:c>
      <x:c r="G82" s="21" t="str">
        <x:v>Check Documentation / SAST; Dangerous-Workflow</x:v>
      </x:c>
      <x:c r="H82" s="21" t="str">
        <x:v>https://raw.githubusercontent.com/ossf/scorecard/main/docs/checks.md</x:v>
      </x:c>
    </x:row>
    <x:row r="83" ht="102" customHeight="1">
      <x:c r="A83" s="21" t="str">
        <x:v>SC-C05</x:v>
      </x:c>
      <x:c r="B83" s="21" t="str">
        <x:v>OpenSSF Scorecard</x:v>
      </x:c>
      <x:c r="C83" s="21" t="str">
        <x:v>C05</x:v>
      </x:c>
      <x:c r="D83" s="20" t="str">
        <x:v>Да</x:v>
      </x:c>
      <x:c r="E83" s="21" t="str">
        <x:v>Проверки Code-Review и Branch-Protection исследуют контроль изменений; полнота зависит от доступных прав и режима запуска.</x:v>
      </x:c>
      <x:c r="F83" s="21" t="str">
        <x:v>SC2</x:v>
      </x:c>
      <x:c r="G83" s="21" t="str">
        <x:v>Code-Review; Branch-Protection</x:v>
      </x:c>
      <x:c r="H83" s="21" t="str">
        <x:v>https://raw.githubusercontent.com/ossf/scorecard/main/docs/checks.md</x:v>
      </x:c>
    </x:row>
    <x:row r="84" ht="102" customHeight="1">
      <x:c r="A84" s="21" t="str">
        <x:v>SC-C06</x:v>
      </x:c>
      <x:c r="B84" s="21" t="str">
        <x:v>OpenSSF Scorecard</x:v>
      </x:c>
      <x:c r="C84" s="21" t="str">
        <x:v>C06</x:v>
      </x:c>
      <x:c r="D84" s="20" t="str">
        <x:v>Да</x:v>
      </x:c>
      <x:c r="E84" s="21" t="str">
        <x:v>Для проверки различаются авторы недавних коммитов и число их вкладов.</x:v>
      </x:c>
      <x:c r="F84" s="21" t="str">
        <x:v>SC2</x:v>
      </x:c>
      <x:c r="G84" s="21" t="str">
        <x:v>Contributors</x:v>
      </x:c>
      <x:c r="H84" s="21" t="str">
        <x:v>https://raw.githubusercontent.com/ossf/scorecard/main/docs/checks.md</x:v>
      </x:c>
    </x:row>
    <x:row r="85" ht="102" customHeight="1">
      <x:c r="A85" s="21" t="str">
        <x:v>SC-C07</x:v>
      </x:c>
      <x:c r="B85" s="21" t="str">
        <x:v>OpenSSF Scorecard</x:v>
      </x:c>
      <x:c r="C85" s="21" t="str">
        <x:v>C07</x:v>
      </x:c>
      <x:c r="D85" s="20" t="str">
        <x:v>Не установлено</x:v>
      </x:c>
      <x:c r="E85" s="21" t="str">
        <x:v>В рассмотренных разделах не подтверждено отслеживание смены публикующих участников или владельцев пакета.</x:v>
      </x:c>
      <x:c r="F85" s="21" t="str">
        <x:v>SC1; SC2</x:v>
      </x:c>
      <x:c r="G85" s="21" t="str">
        <x:v>Границы и функции выбранного модуля; разделы, перечисленные в реестре источников</x:v>
      </x:c>
      <x:c r="H85" s="21" t="str">
        <x:v>https://raw.githubusercontent.com/ossf/scorecard/main/README.md
https://raw.githubusercontent.com/ossf/scorecard/main/docs/checks.md</x:v>
      </x:c>
    </x:row>
    <x:row r="86" ht="102" customHeight="1">
      <x:c r="A86" s="21" t="str">
        <x:v>SC-C08</x:v>
      </x:c>
      <x:c r="B86" s="21" t="str">
        <x:v>OpenSSF Scorecard</x:v>
      </x:c>
      <x:c r="C86" s="21" t="str">
        <x:v>C08</x:v>
      </x:c>
      <x:c r="D86" s="20" t="str">
        <x:v>Да</x:v>
      </x:c>
      <x:c r="E86" s="21" t="str">
        <x:v>Используется поле Company; проверка есть в инструменте, но исключена из массового публичного API. README и подробная страница расходятся в порогах; порог не используется в сравнении.</x:v>
      </x:c>
      <x:c r="F86" s="21" t="str">
        <x:v>SC2; SC1</x:v>
      </x:c>
      <x:c r="G86" s="21" t="str">
        <x:v>Contributors; Scorecard REST API</x:v>
      </x:c>
      <x:c r="H86" s="21" t="str">
        <x:v>https://raw.githubusercontent.com/ossf/scorecard/main/docs/checks.md
https://raw.githubusercontent.com/ossf/scorecard/main/README.md</x:v>
      </x:c>
    </x:row>
    <x:row r="87" ht="102" customHeight="1">
      <x:c r="A87" s="21" t="str">
        <x:v>SC-C09</x:v>
      </x:c>
      <x:c r="B87" s="21" t="str">
        <x:v>OpenSSF Scorecard</x:v>
      </x:c>
      <x:c r="C87" s="21" t="str">
        <x:v>C09</x:v>
      </x:c>
      <x:c r="D87" s="20" t="str">
        <x:v>Да</x:v>
      </x:c>
      <x:c r="E87" s="21" t="str">
        <x:v>Результат относится к указанному репозиторию; машиночитаемый отчёт фиксирует сведения о проверке и состоянии проекта.</x:v>
      </x:c>
      <x:c r="F87" s="21" t="str">
        <x:v>SC1</x:v>
      </x:c>
      <x:c r="G87" s="21" t="str">
        <x:v>Scorecard command line interface; JSON output</x:v>
      </x:c>
      <x:c r="H87" s="21" t="str">
        <x:v>https://raw.githubusercontent.com/ossf/scorecard/main/README.md</x:v>
      </x:c>
    </x:row>
    <x:row r="88" ht="102" customHeight="1">
      <x:c r="A88" s="21" t="str">
        <x:v>SC-C10</x:v>
      </x:c>
      <x:c r="B88" s="21" t="str">
        <x:v>OpenSSF Scorecard</x:v>
      </x:c>
      <x:c r="C88" s="21" t="str">
        <x:v>C10</x:v>
      </x:c>
      <x:c r="D88" s="20" t="str">
        <x:v>Да</x:v>
      </x:c>
      <x:c r="E88" s="21" t="str">
        <x:v>По отдельным проверкам выводятся результаты и причины; документация объясняет механизм и ограничения.</x:v>
      </x:c>
      <x:c r="F88" s="21" t="str">
        <x:v>SC1; SC2</x:v>
      </x:c>
      <x:c r="G88" s="21" t="str">
        <x:v>Scorecard command line interface; Check Documentation</x:v>
      </x:c>
      <x:c r="H88" s="21" t="str">
        <x:v>https://raw.githubusercontent.com/ossf/scorecard/main/README.md
https://raw.githubusercontent.com/ossf/scorecard/main/docs/checks.md</x:v>
      </x:c>
    </x:row>
    <x:row r="89" ht="102" customHeight="1">
      <x:c r="A89" s="21" t="str">
        <x:v>SC-C11</x:v>
      </x:c>
      <x:c r="B89" s="21" t="str">
        <x:v>OpenSSF Scorecard</x:v>
      </x:c>
      <x:c r="C89" s="21" t="str">
        <x:v>C11</x:v>
      </x:c>
      <x:c r="D89" s="20" t="str">
        <x:v>Да</x:v>
      </x:c>
      <x:c r="E89" s="21" t="str">
        <x:v>Разделы Remediation steps содержат меры исправления конкретной защитной практики; это не общий запрет использования проекта.</x:v>
      </x:c>
      <x:c r="F89" s="21" t="str">
        <x:v>SC2</x:v>
      </x:c>
      <x:c r="G89" s="21" t="str">
        <x:v>Code-Review; Branch-Protection: Remediation steps</x:v>
      </x:c>
      <x:c r="H89" s="21" t="str">
        <x:v>https://raw.githubusercontent.com/ossf/scorecard/main/docs/checks.md</x:v>
      </x:c>
    </x:row>
    <x:row r="90" ht="102" customHeight="1">
      <x:c r="A90" s="21" t="str">
        <x:v>DT-C01</x:v>
      </x:c>
      <x:c r="B90" s="21" t="str">
        <x:v>OWASP Dependency-Track</x:v>
      </x:c>
      <x:c r="C90" s="21" t="str">
        <x:v>C01</x:v>
      </x:c>
      <x:c r="D90" s="20" t="str">
        <x:v>Да</x:v>
      </x:c>
      <x:c r="E90" s="21" t="str">
        <x:v>Платформа ведёт состав компонентов по приложениям и версиям из SBOM.</x:v>
      </x:c>
      <x:c r="F90" s="21" t="str">
        <x:v>DT1</x:v>
      </x:c>
      <x:c r="G90" s="21" t="str">
        <x:v>Features</x:v>
      </x:c>
      <x:c r="H90" s="21" t="str">
        <x:v>https://docs.dependencytrack.org/</x:v>
      </x:c>
    </x:row>
    <x:row r="91" ht="102" customHeight="1">
      <x:c r="A91" s="21" t="str">
        <x:v>DT-C02</x:v>
      </x:c>
      <x:c r="B91" s="21" t="str">
        <x:v>OWASP Dependency-Track</x:v>
      </x:c>
      <x:c r="C91" s="21" t="str">
        <x:v>C02</x:v>
      </x:c>
      <x:c r="D91" s="20" t="str">
        <x:v>Да</x:v>
      </x:c>
      <x:c r="E91" s="21" t="str">
        <x:v>Перечислены источники уязвимостей и непрерывный мониторинг компонентов.</x:v>
      </x:c>
      <x:c r="F91" s="21" t="str">
        <x:v>DT1</x:v>
      </x:c>
      <x:c r="G91" s="21" t="str">
        <x:v>Features / vulnerability intelligence</x:v>
      </x:c>
      <x:c r="H91" s="21" t="str">
        <x:v>https://docs.dependencytrack.org/</x:v>
      </x:c>
    </x:row>
    <x:row r="92" ht="102" customHeight="1">
      <x:c r="A92" s="21" t="str">
        <x:v>DT-C03</x:v>
      </x:c>
      <x:c r="B92" s="21" t="str">
        <x:v>OWASP Dependency-Track</x:v>
      </x:c>
      <x:c r="C92" s="21" t="str">
        <x:v>C03</x:v>
      </x:c>
      <x:c r="D92" s="20" t="str">
        <x:v>Да</x:v>
      </x:c>
      <x:c r="E92" s="21" t="str">
        <x:v>Настраиваемая политика по хешу выявляет использование заранее известных вредоносных или скомпрометированных пакетов. Нужны заданные правила и хеши компонентов; поведенческий анализ этим не подтверждается.</x:v>
      </x:c>
      <x:c r="F92" s="21" t="str">
        <x:v>DT4; DT2</x:v>
      </x:c>
      <x:c r="G92" s="21" t="str">
        <x:v>v4.6.0 / New Policy Conditions; Policy Compliance / Operational Violation</x:v>
      </x:c>
      <x:c r="H92" s="21" t="str">
        <x:v>https://docs.dependencytrack.org/2022/10/11/v4.6.0/
https://docs.dependencytrack.org/usage/policy-compliance/</x:v>
      </x:c>
    </x:row>
    <x:row r="93" ht="102" customHeight="1">
      <x:c r="A93" s="21" t="str">
        <x:v>DT-C04</x:v>
      </x:c>
      <x:c r="B93" s="21" t="str">
        <x:v>OWASP Dependency-Track</x:v>
      </x:c>
      <x:c r="C93" s="21" t="str">
        <x:v>C04</x:v>
      </x:c>
      <x:c r="D93" s="20" t="str">
        <x:v>Не установлено</x:v>
      </x:c>
      <x:c r="E93" s="21" t="str">
        <x:v>В изученных разделах описан анализ SBOM; собственный анализ исходного кода на ошибки безопасности не подтверждён.</x:v>
      </x:c>
      <x:c r="F93" s="21" t="str">
        <x:v>DT1; DT3</x:v>
      </x:c>
      <x:c r="G93" s="21" t="str">
        <x:v>Features; CI/CD</x:v>
      </x:c>
      <x:c r="H93" s="21" t="str">
        <x:v>https://docs.dependencytrack.org/
https://docs.dependencytrack.org/usage/cicd/</x:v>
      </x:c>
    </x:row>
    <x:row r="94" ht="102" customHeight="1">
      <x:c r="A94" s="21" t="str">
        <x:v>DT-C05</x:v>
      </x:c>
      <x:c r="B94" s="21" t="str">
        <x:v>OWASP Dependency-Track</x:v>
      </x:c>
      <x:c r="C94" s="21" t="str">
        <x:v>C05</x:v>
      </x:c>
      <x:c r="D94" s="20" t="str">
        <x:v>Не установлено</x:v>
      </x:c>
      <x:c r="E94" s="21" t="str">
        <x:v>В рассмотренных разделах не подтверждена проверка ревью и защитных настроек репозитория; интеграция сканера в CI не засчитана.</x:v>
      </x:c>
      <x:c r="F94" s="21" t="str">
        <x:v>DT1; DT2; DT3</x:v>
      </x:c>
      <x:c r="G94" s="21" t="str">
        <x:v>Границы и функции выбранного модуля; разделы, перечисленные в реестре источников</x:v>
      </x:c>
      <x:c r="H94" s="21" t="str">
        <x:v>https://docs.dependencytrack.org/
https://docs.dependencytrack.org/usage/policy-compliance/
https://docs.dependencytrack.org/usage/cicd/</x:v>
      </x:c>
    </x:row>
    <x:row r="95" ht="102" customHeight="1">
      <x:c r="A95" s="21" t="str">
        <x:v>DT-C06</x:v>
      </x:c>
      <x:c r="B95" s="21" t="str">
        <x:v>OWASP Dependency-Track</x:v>
      </x:c>
      <x:c r="C95" s="21" t="str">
        <x:v>C06</x:v>
      </x:c>
      <x:c r="D95" s="20" t="str">
        <x:v>Не установлено</x:v>
      </x:c>
      <x:c r="E95" s="21" t="str">
        <x:v>Поддерживается импорт и показ автора компонента. История коммитов с разбором индивидуального вклада в проверенных разделах не описана.</x:v>
      </x:c>
      <x:c r="F95" s="21" t="str">
        <x:v>DT4; DT1</x:v>
      </x:c>
      <x:c r="G95" s="21" t="str">
        <x:v>v4.6.0 / Features: component author information; Introduction</x:v>
      </x:c>
      <x:c r="H95" s="21" t="str">
        <x:v>https://docs.dependencytrack.org/2022/10/11/v4.6.0/
https://docs.dependencytrack.org/</x:v>
      </x:c>
    </x:row>
    <x:row r="96" ht="102" customHeight="1">
      <x:c r="A96" s="21" t="str">
        <x:v>DT-C07</x:v>
      </x:c>
      <x:c r="B96" s="21" t="str">
        <x:v>OWASP Dependency-Track</x:v>
      </x:c>
      <x:c r="C96" s="21" t="str">
        <x:v>C07</x:v>
      </x:c>
      <x:c r="D96" s="20" t="str">
        <x:v>Не установлено</x:v>
      </x:c>
      <x:c r="E96" s="21" t="str">
        <x:v>В рассмотренных разделах не подтверждено отслеживание смены публикующих участников или владельцев пакета.</x:v>
      </x:c>
      <x:c r="F96" s="21" t="str">
        <x:v>DT1; DT2; DT3</x:v>
      </x:c>
      <x:c r="G96" s="21" t="str">
        <x:v>Границы и функции выбранного модуля; разделы, перечисленные в реестре источников</x:v>
      </x:c>
      <x:c r="H96" s="21" t="str">
        <x:v>https://docs.dependencytrack.org/
https://docs.dependencytrack.org/usage/policy-compliance/
https://docs.dependencytrack.org/usage/cicd/</x:v>
      </x:c>
    </x:row>
    <x:row r="97" ht="102" customHeight="1">
      <x:c r="A97" s="21" t="str">
        <x:v>DT-C08</x:v>
      </x:c>
      <x:c r="B97" s="21" t="str">
        <x:v>OWASP Dependency-Track</x:v>
      </x:c>
      <x:c r="C97" s="21" t="str">
        <x:v>C08</x:v>
      </x:c>
      <x:c r="D97" s="20" t="str">
        <x:v>Не установлено</x:v>
      </x:c>
      <x:c r="E97" s="21" t="str">
        <x:v>В рассмотренных разделах не подтверждён анализ аффилиаций разработчиков и участия внешних организаций.</x:v>
      </x:c>
      <x:c r="F97" s="21" t="str">
        <x:v>DT1; DT2; DT3</x:v>
      </x:c>
      <x:c r="G97" s="21" t="str">
        <x:v>Границы и функции выбранного модуля; разделы, перечисленные в реестре источников</x:v>
      </x:c>
      <x:c r="H97" s="21" t="str">
        <x:v>https://docs.dependencytrack.org/
https://docs.dependencytrack.org/usage/policy-compliance/
https://docs.dependencytrack.org/usage/cicd/</x:v>
      </x:c>
    </x:row>
    <x:row r="98" ht="102" customHeight="1">
      <x:c r="A98" s="21" t="str">
        <x:v>DT-C09</x:v>
      </x:c>
      <x:c r="B98" s="21" t="str">
        <x:v>OWASP Dependency-Track</x:v>
      </x:c>
      <x:c r="C98" s="21" t="str">
        <x:v>C09</x:v>
      </x:c>
      <x:c r="D98" s="20" t="str">
        <x:v>Да</x:v>
      </x:c>
      <x:c r="E98" s="21" t="str">
        <x:v>Компоненты учитываются в конкретных версиях проектов на основе полученного SBOM.</x:v>
      </x:c>
      <x:c r="F98" s="21" t="str">
        <x:v>DT1</x:v>
      </x:c>
      <x:c r="G98" s="21" t="str">
        <x:v>Introduction: project and component versions</x:v>
      </x:c>
      <x:c r="H98" s="21" t="str">
        <x:v>https://docs.dependencytrack.org/</x:v>
      </x:c>
    </x:row>
    <x:row r="99" ht="102" customHeight="1">
      <x:c r="A99" s="21" t="str">
        <x:v>DT-C10</x:v>
      </x:c>
      <x:c r="B99" s="21" t="str">
        <x:v>OWASP Dependency-Track</x:v>
      </x:c>
      <x:c r="C99" s="21" t="str">
        <x:v>C10</x:v>
      </x:c>
      <x:c r="D99" s="20" t="str">
        <x:v>Да</x:v>
      </x:c>
      <x:c r="E99" s="21" t="str">
        <x:v>Различаются лицензионные, технические и эксплуатационные нарушения и условия их срабатывания.</x:v>
      </x:c>
      <x:c r="F99" s="21" t="str">
        <x:v>DT2</x:v>
      </x:c>
      <x:c r="G99" s="21" t="str">
        <x:v>Policy Compliance</x:v>
      </x:c>
      <x:c r="H99" s="21" t="str">
        <x:v>https://docs.dependencytrack.org/usage/policy-compliance/</x:v>
      </x:c>
    </x:row>
    <x:row r="100" ht="102" customHeight="1">
      <x:c r="A100" s="21" t="str">
        <x:v>DT-C11</x:v>
      </x:c>
      <x:c r="B100" s="21" t="str">
        <x:v>OWASP Dependency-Track</x:v>
      </x:c>
      <x:c r="C100" s="21" t="str">
        <x:v>C11</x:v>
      </x:c>
      <x:c r="D100" s="20" t="str">
        <x:v>Да</x:v>
      </x:c>
      <x:c r="E100" s="21" t="str">
        <x:v>Документированное поле recommendation в результате FPF содержит сведения об исправлении, включая рекомендуемую версию. Наличие зависит от записи об уязвимости; автоматический подбор безопасной совместимой версии не установлен.</x:v>
      </x:c>
      <x:c r="F100" s="21" t="str">
        <x:v>DT5</x:v>
      </x:c>
      <x:c r="G100" s="21" t="str">
        <x:v>File Formats / Example: vulnerability.recommendation</x:v>
      </x:c>
      <x:c r="H100" s="21" t="str">
        <x:v>https://docs.dependencytrack.org/integrations/file-formats/</x:v>
      </x:c>
    </x:row>
  </x:sheetData>
  <x:conditionalFormatting sqref="D2:D100">
    <x:cfRule type="containsText" dxfId="21" priority="1" operator="containsText" text="Да"/>
    <x:cfRule type="containsText" dxfId="22" priority="2" operator="containsText" text="Нет"/>
    <x:cfRule type="containsText" dxfId="23" priority="3" operator="containsText" text="Не установлено"/>
  </x:conditionalFormatting>
  <x:dataValidations count="1">
    <x:dataValidation type="list" sqref="D2:D100">
      <x:formula1>"Да,Нет,Не установлено"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600004196167" hidden="0" customWidth="1"/>
    <x:col min="2" max="2" width="22.780000686645508" hidden="0" customWidth="1"/>
    <x:col min="3" max="3" width="28.889999389648438" hidden="0" customWidth="1"/>
    <x:col min="4" max="4" width="77.77999877929688" hidden="0" customWidth="1"/>
  </x:cols>
  <x:sheetData>
    <x:row r="1">
      <x:c r="A1" s="19"/>
      <x:c r="B1" s="19"/>
      <x:c r="C1" s="19"/>
      <x:c r="D1" s="19"/>
    </x:row>
    <x:row r="2" ht="32" customHeight="1">
      <x:c r="A2" s="31" t="str">
        <x:v>Критерии и границы сравнения</x:v>
      </x:c>
      <x:c r="B2" s="31"/>
      <x:c r="C2" s="31"/>
      <x:c r="D2" s="31"/>
    </x:row>
    <x:row r="3">
      <x:c r="A3" s="19"/>
      <x:c r="B3" s="19"/>
      <x:c r="C3" s="19"/>
      <x:c r="D3" s="19"/>
    </x:row>
    <x:row r="4" ht="42" customHeight="1">
      <x:c r="A4" s="22" t="str">
        <x:v>Код</x:v>
      </x:c>
      <x:c r="B4" s="22" t="str">
        <x:v>Группа</x:v>
      </x:c>
      <x:c r="C4" s="22" t="str">
        <x:v>Критерий</x:v>
      </x:c>
      <x:c r="D4" s="22" t="str">
        <x:v>Операциональное определение</x:v>
      </x:c>
    </x:row>
    <x:row r="5" ht="76" customHeight="1">
      <x:c r="A5" s="21" t="str">
        <x:v>C01</x:v>
      </x:c>
      <x:c r="B5" s="21" t="str">
        <x:v>Технические сведения</x:v>
      </x:c>
      <x:c r="C5" s="21" t="str">
        <x:v>Состав компонентов</x:v>
      </x:c>
      <x:c r="D5" s="21" t="str">
        <x:v>Выявляется или импортируется перечень зависимостей с идентификаторами. В основании различаются собственное выявление и импорт готового SBOM.</x:v>
      </x:c>
    </x:row>
    <x:row r="6" ht="76" customHeight="1">
      <x:c r="A6" s="21" t="str">
        <x:v>C02</x:v>
      </x:c>
      <x:c r="B6" s="21" t="str">
        <x:v>Технические сведения</x:v>
      </x:c>
      <x:c r="C6" s="21" t="str">
        <x:v>Известные уязвимости</x:v>
      </x:c>
      <x:c r="D6" s="21" t="str">
        <x:v>Выполняется сопоставление проекта или его зависимостей с опубликованными сведениями об уязвимостях. Поиск потенциальных ошибок кода без такого сопоставления сюда не относится.</x:v>
      </x:c>
    </x:row>
    <x:row r="7" ht="76" customHeight="1">
      <x:c r="A7" s="21" t="str">
        <x:v>C03</x:v>
      </x:c>
      <x:c r="B7" s="21" t="str">
        <x:v>Технические сведения</x:v>
      </x:c>
      <x:c r="C7" s="21" t="str">
        <x:v>Вредоносные пакеты</x:v>
      </x:c>
      <x:c r="D7" s="21" t="str">
        <x:v>Документирован поиск известных вредоносных пакетов либо признаков их подозрительного поведения. В основании различаются эти способы; наличие функции не означает одинакового качества обнаружения.</x:v>
      </x:c>
    </x:row>
    <x:row r="8" ht="76" customHeight="1">
      <x:c r="A8" s="21" t="str">
        <x:v>C04</x:v>
      </x:c>
      <x:c r="B8" s="21" t="str">
        <x:v>Технические сведения</x:v>
      </x:c>
      <x:c r="C8" s="21" t="str">
        <x:v>SAST исходного кода</x:v>
      </x:c>
      <x:c r="D8" s="21" t="str">
        <x:v>В выбранном модуле выполняется статический анализ исходного кода анализируемого проекта на ошибки безопасности. Анализ только сторонних пакетов не засчитывается.</x:v>
      </x:c>
    </x:row>
    <x:row r="9" ht="76" customHeight="1">
      <x:c r="A9" s="21" t="str">
        <x:v>C05</x:v>
      </x:c>
      <x:c r="B9" s="21" t="str">
        <x:v>Процессы и участие</x:v>
      </x:c>
      <x:c r="C9" s="21" t="str">
        <x:v>Защитные практики</x:v>
      </x:c>
      <x:c r="D9" s="21" t="str">
        <x:v>Инструмент проверяет практики контроля изменений в репозитории, например ревью и защиту ветвей. Запуск собственного сканера в CI не считается исследованием таких практик.</x:v>
      </x:c>
    </x:row>
    <x:row r="10" ht="76" customHeight="1">
      <x:c r="A10" s="21" t="str">
        <x:v>C06</x:v>
      </x:c>
      <x:c r="B10" s="21" t="str">
        <x:v>Процессы и участие</x:v>
      </x:c>
      <x:c r="C10" s="21" t="str">
        <x:v>Вклад разработчиков</x:v>
      </x:c>
      <x:c r="D10" s="21" t="str">
        <x:v>Результат различает авторов изменений и их вклад в репозиторий. Имя владельца пакета без истории изменений недостаточно.</x:v>
      </x:c>
    </x:row>
    <x:row r="11" ht="76" customHeight="1">
      <x:c r="A11" s="21" t="str">
        <x:v>C07</x:v>
      </x:c>
      <x:c r="B11" s="21" t="str">
        <x:v>Процессы и участие</x:v>
      </x:c>
      <x:c r="C11" s="21" t="str">
        <x:v>Смена публикующих участников</x:v>
      </x:c>
      <x:c r="D11" s="21" t="str">
        <x:v>Отслеживается появление нового публикующего участника или изменение владения пакетом. Текущая карточка автора и обычная история коммитов недостаточны.</x:v>
      </x:c>
    </x:row>
    <x:row r="12" ht="76" customHeight="1">
      <x:c r="A12" s="21" t="str">
        <x:v>C08</x:v>
      </x:c>
      <x:c r="B12" s="21" t="str">
        <x:v>Процессы и участие</x:v>
      </x:c>
      <x:c r="C12" s="21" t="str">
        <x:v>Участие организаций</x:v>
      </x:c>
      <x:c r="D12" s="21" t="str">
        <x:v>Рассматриваются аффилиации участников или вклад организаций в проект. Внутреннее подразделение, к которому отнесён проект потребителя, не считается аффилиацией внешнего разработчика.</x:v>
      </x:c>
    </x:row>
    <x:row r="13" ht="76" customHeight="1">
      <x:c r="A13" s="21" t="str">
        <x:v>C09</x:v>
      </x:c>
      <x:c r="B13" s="21" t="str">
        <x:v>Поддержка решения</x:v>
      </x:c>
      <x:c r="C13" s="21" t="str">
        <x:v>Объект результата</x:v>
      </x:c>
      <x:c r="D13" s="21" t="str">
        <x:v>Находка или метрика связана с идентифицированным компонентом, версией, коммитом либо анализируемой ветвью. Конкретный уровень указан в основании; эти объекты не приравниваются друг к другу.</x:v>
      </x:c>
    </x:row>
    <x:row r="14" ht="76" customHeight="1">
      <x:c r="A14" s="21" t="str">
        <x:v>C10</x:v>
      </x:c>
      <x:c r="B14" s="21" t="str">
        <x:v>Поддержка решения</x:v>
      </x:c>
      <x:c r="C14" s="21" t="str">
        <x:v>Проверяемое основание</x:v>
      </x:c>
      <x:c r="D14" s="21" t="str">
        <x:v>Для результата доступны конкретная проблема, связанный код или компонент, сработавшее правило либо исходные события метрики. Один суммарный балл без деталей недостаточен.</x:v>
      </x:c>
    </x:row>
    <x:row r="15" ht="76" customHeight="1">
      <x:c r="A15" s="21" t="str">
        <x:v>C11</x:v>
      </x:c>
      <x:c r="B15" s="21" t="str">
        <x:v>Поддержка решения</x:v>
      </x:c>
      <x:c r="C15" s="21" t="str">
        <x:v>Действия по исправлению</x:v>
      </x:c>
      <x:c r="D15" s="21" t="str">
        <x:v>Предлагаются конкретные сведения об исправлении, рекомендуемая версия или меры улучшения выявленной практики. Простая регистрация нарушения и возможность скрыть его не считаются исправлением.</x:v>
      </x:c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 ht="42" customHeight="1">
      <x:c r="A19" s="22" t="str">
        <x:v>Код</x:v>
      </x:c>
      <x:c r="B19" s="22" t="str">
        <x:v>Семейство</x:v>
      </x:c>
      <x:c r="C19" s="22" t="str">
        <x:v>Объект</x:v>
      </x:c>
      <x:c r="D19" s="22" t="str">
        <x:v>Границы оценки</x:v>
      </x:c>
    </x:row>
    <x:row r="20" ht="66" customHeight="1">
      <x:c r="A20" s="21" t="str">
        <x:v>CS</x:v>
      </x:c>
      <x:c r="B20" s="21" t="str">
        <x:v>CodeScoring</x:v>
      </x:c>
      <x:c r="C20" s="21" t="str">
        <x:v>CodeScoring SCA + OSA</x:v>
      </x:c>
      <x:c r="D20" s="21" t="str">
        <x:v>Только модули SCA и OSA; TQI и Secrets не включены.</x:v>
      </x:c>
    </x:row>
    <x:row r="21" ht="66" customHeight="1">
      <x:c r="A21" s="21" t="str">
        <x:v>TQ</x:v>
      </x:c>
      <x:c r="B21" s="21" t="str">
        <x:v>CodeScoring</x:v>
      </x:c>
      <x:c r="C21" s="21" t="str">
        <x:v>CodeScoring TQI</x:v>
      </x:c>
      <x:c r="D21" s="21" t="str">
        <x:v>Только модуль TQI и документированный CSV-экспорт; функции SCA/OSA не перенесены.</x:v>
      </x:c>
    </x:row>
    <x:row r="22" ht="66" customHeight="1">
      <x:c r="A22" s="21" t="str">
        <x:v>SN</x:v>
      </x:c>
      <x:c r="B22" s="21" t="str">
        <x:v>Snyk Open Source</x:v>
      </x:c>
      <x:c r="C22" s="21" t="str">
        <x:v>Snyk Open Source</x:v>
      </x:c>
      <x:c r="D22" s="21" t="str">
        <x:v>SCA-модуль и связанная команда SBOM; Snyk Code не включён.</x:v>
      </x:c>
    </x:row>
    <x:row r="23" ht="66" customHeight="1">
      <x:c r="A23" s="21" t="str">
        <x:v>SO</x:v>
      </x:c>
      <x:c r="B23" s="21" t="str">
        <x:v>Sonatype Lifecycle</x:v>
      </x:c>
      <x:c r="C23" s="21" t="str">
        <x:v>Sonatype Lifecycle</x:v>
      </x:c>
      <x:c r="D23" s="21" t="str">
        <x:v>Lifecycle и интеграция SCM; Repository Firewall отдельно не оценивался.</x:v>
      </x:c>
    </x:row>
    <x:row r="24" ht="66" customHeight="1">
      <x:c r="A24" s="21" t="str">
        <x:v>SK</x:v>
      </x:c>
      <x:c r="B24" s="21" t="str">
        <x:v>Socket</x:v>
      </x:c>
      <x:c r="C24" s="21" t="str">
        <x:v>Socket</x:v>
      </x:c>
      <x:c r="D24" s="21" t="str">
        <x:v>Анализ пакетов, политики, Socket Fix и GitHub App; собственный код приложения вне границ.</x:v>
      </x:c>
    </x:row>
    <x:row r="25" ht="66" customHeight="1">
      <x:c r="A25" s="21" t="str">
        <x:v>DB</x:v>
      </x:c>
      <x:c r="B25" s="21" t="str">
        <x:v>GitHub</x:v>
      </x:c>
      <x:c r="C25" s="21" t="str">
        <x:v>GitHub Dependabot</x:v>
      </x:c>
      <x:c r="D25" s="21" t="str">
        <x:v>Dependency graph, alerts, malware alerts и security updates. CodeQL, Insights и сторонние Actions не включены.</x:v>
      </x:c>
    </x:row>
    <x:row r="26" ht="66" customHeight="1">
      <x:c r="A26" s="21" t="str">
        <x:v>QL</x:v>
      </x:c>
      <x:c r="B26" s="21" t="str">
        <x:v>GitHub</x:v>
      </x:c>
      <x:c r="C26" s="21" t="str">
        <x:v>GitHub CodeQL</x:v>
      </x:c>
      <x:c r="D26" s="21" t="str">
        <x:v>CodeQL с code scanning на GitHub; Dependabot и dependency graph отдельно не включены.</x:v>
      </x:c>
    </x:row>
    <x:row r="27" ht="66" customHeight="1">
      <x:c r="A27" s="21" t="str">
        <x:v>SC</x:v>
      </x:c>
      <x:c r="B27" s="21" t="str">
        <x:v>OpenSSF Scorecard</x:v>
      </x:c>
      <x:c r="C27" s="21" t="str">
        <x:v>OpenSSF Scorecard</x:v>
      </x:c>
      <x:c r="D27" s="21" t="str">
        <x:v>CLI, проверки, опубликованные API и viewer; не только сокращённый публичный API.</x:v>
      </x:c>
    </x:row>
    <x:row r="28" ht="66" customHeight="1">
      <x:c r="A28" s="21" t="str">
        <x:v>DT</x:v>
      </x:c>
      <x:c r="B28" s="21" t="str">
        <x:v>OWASP Dependency-Track</x:v>
      </x:c>
      <x:c r="C28" s="21" t="str">
        <x:v>OWASP Dependency-Track</x:v>
      </x:c>
      <x:c r="D28" s="21" t="str">
        <x:v>Платформа анализа состава по SBOM; внешние генераторы SBOM не считаются её встроенными сканерами.</x:v>
      </x:c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27" t="str">
        <x:v>«Не установлено» — недостаток подтверждения в изученном корпусе. «Да» не измеряет точность. Суммарный рейтинг не рассчитывается.</x:v>
      </x:c>
      <x:c r="B31" s="27"/>
      <x:c r="C31" s="27"/>
      <x:c r="D31" s="27"/>
    </x:row>
    <x:row r="32">
      <x:c r="A32" s="19"/>
      <x:c r="B32" s="19"/>
      <x:c r="C32" s="19"/>
      <x:c r="D32" s="19"/>
    </x:row>
    <x:row r="33" ht="28" customHeight="1">
      <x:c r="A33" s="34" t="str">
        <x:v>Связь критериев с потребностями пользователя</x:v>
      </x:c>
      <x:c r="B33" s="34"/>
      <x:c r="C33" s="34"/>
      <x:c r="D33" s="34"/>
    </x:row>
    <x:row r="35">
      <x:c r="A35" s="35" t="str">
        <x:v>Код</x:v>
      </x:c>
      <x:c r="B35" s="35" t="str">
        <x:v>Потребность пользователя</x:v>
      </x:c>
      <x:c r="C35" s="35" t="str">
        <x:v>Критерии</x:v>
      </x:c>
      <x:c r="D35" s="35" t="str">
        <x:v>Обоснование</x:v>
      </x:c>
    </x:row>
    <x:row r="36" ht="90" customHeight="1">
      <x:c r="A36" s="32" t="str">
        <x:v>U1</x:v>
      </x:c>
      <x:c r="B36" s="32" t="str">
        <x:v>Понять, какой компонент и какую версию собираются использовать.</x:v>
      </x:c>
      <x:c r="C36" s="32" t="str">
        <x:v>C01;C09</x:v>
      </x:c>
      <x:c r="D36" s="32" t="str">
        <x:v>Без состава зависимостей и идентификатора объекта находку нельзя применить к выбранному выпуску.</x:v>
      </x:c>
    </x:row>
    <x:row r="37" ht="90" customHeight="1">
      <x:c r="A37" s="32" t="str">
        <x:v>U2</x:v>
      </x:c>
      <x:c r="B37" s="32" t="str">
        <x:v>Различить известную уязвимость, вредоносный пакет и проблему собственного кода.</x:v>
      </x:c>
      <x:c r="C37" s="32" t="str">
        <x:v>C02;C03;C04</x:v>
      </x:c>
      <x:c r="D37" s="32" t="str">
        <x:v>Это разные объекты и способы выявления; один отрицательный результат не заменяет остальные проверки.</x:v>
      </x:c>
    </x:row>
    <x:row r="38" ht="90" customHeight="1">
      <x:c r="A38" s="32" t="str">
        <x:v>U3</x:v>
      </x:c>
      <x:c r="B38" s="32" t="str">
        <x:v>Понять, как контролируются изменения и кто участвует в их подготовке.</x:v>
      </x:c>
      <x:c r="C38" s="32" t="str">
        <x:v>C05;C06</x:v>
      </x:c>
      <x:c r="D38" s="32" t="str">
        <x:v>Проверки ревью и защиты ветвей характеризуют контроль; история вкладов показывает участие, но сама по себе не подтверждает полномочия.</x:v>
      </x:c>
    </x:row>
    <x:row r="39" ht="90" customHeight="1">
      <x:c r="A39" s="32" t="str">
        <x:v>U4</x:v>
      </x:c>
      <x:c r="B39" s="32" t="str">
        <x:v>Уточнить изменения в публикации выпусков и организационный контекст.</x:v>
      </x:c>
      <x:c r="C39" s="32" t="str">
        <x:v>C07;C08</x:v>
      </x:c>
      <x:c r="D39" s="32" t="str">
        <x:v>Смена публикующего участника и принадлежность к организации требуют разных подтверждений и не доказывают злой умысел.</x:v>
      </x:c>
    </x:row>
    <x:row r="40" ht="90" customHeight="1">
      <x:c r="A40" s="32" t="str">
        <x:v>U5</x:v>
      </x:c>
      <x:c r="B40" s="32" t="str">
        <x:v>Проверить основание вывода и понять, что делать дальше.</x:v>
      </x:c>
      <x:c r="C40" s="32" t="str">
        <x:v>C10;C11</x:v>
      </x:c>
      <x:c r="D40" s="32" t="str">
        <x:v>Нужны исходная находка, правило или событие и применимое действие; рекомендация должна быть проверяемой.</x:v>
      </x:c>
    </x:row>
  </x:sheetData>
  <x:mergeCells>
    <x:mergeCell ref="A2:D2"/>
    <x:mergeCell ref="A33:D3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90000343322754" hidden="0" customWidth="1"/>
    <x:col min="2" max="2" width="40" hidden="0" customWidth="1"/>
    <x:col min="3" max="3" width="80" hidden="0" customWidth="1"/>
    <x:col min="4" max="4" width="15.5600004196167" hidden="0" customWidth="1"/>
  </x:cols>
  <x:sheetData>
    <x:row r="1" ht="42" customHeight="1">
      <x:c r="A1" s="22" t="str">
        <x:v>ID</x:v>
      </x:c>
      <x:c r="B1" s="22" t="str">
        <x:v>Документ</x:v>
      </x:c>
      <x:c r="C1" s="22" t="str">
        <x:v>URL</x:v>
      </x:c>
      <x:c r="D1" s="22" t="str">
        <x:v>Дата обращения</x:v>
      </x:c>
    </x:row>
    <x:row r="2" ht="68" customHeight="1">
      <x:c r="A2" s="21" t="str">
        <x:v>N1</x:v>
      </x:c>
      <x:c r="B2" s="21" t="str">
        <x:v>NIST SSDF 1.1</x:v>
      </x:c>
      <x:c r="C2" s="21" t="str">
        <x:v>https://csrc.nist.gov/pubs/sp/800/218/final</x:v>
      </x:c>
      <x:c r="D2" s="33" t="n">
        <x:v>46304</x:v>
      </x:c>
    </x:row>
    <x:row r="3" ht="68" customHeight="1">
      <x:c r="A3" s="21" t="str">
        <x:v>N2</x:v>
      </x:c>
      <x:c r="B3" s="21" t="str">
        <x:v>SLSA — supply chain threats 1.2</x:v>
      </x:c>
      <x:c r="C3" s="21" t="str">
        <x:v>https://slsa.dev/spec/v1.2/threats-overview</x:v>
      </x:c>
      <x:c r="D3" s="33" t="n">
        <x:v>46303</x:v>
      </x:c>
    </x:row>
    <x:row r="4" ht="68" customHeight="1">
      <x:c r="A4" s="21" t="str">
        <x:v>N3</x:v>
      </x:c>
      <x:c r="B4" s="21" t="str">
        <x:v>OWASP SCVS — preface</x:v>
      </x:c>
      <x:c r="C4" s="21" t="str">
        <x:v>https://scvs.owasp.org/scvs/preface/</x:v>
      </x:c>
      <x:c r="D4" s="33" t="n">
        <x:v>46304</x:v>
      </x:c>
    </x:row>
    <x:row r="5" ht="68" customHeight="1">
      <x:c r="A5" s="21" t="str">
        <x:v>XZ1</x:v>
      </x:c>
      <x:c r="B5" s="21" t="str">
        <x:v>Freund — XZ incident</x:v>
      </x:c>
      <x:c r="C5" s="21" t="str">
        <x:v>https://www.openwall.com/lists/oss-security/2024/03/29/4</x:v>
      </x:c>
      <x:c r="D5" s="33" t="n">
        <x:v>46305</x:v>
      </x:c>
    </x:row>
    <x:row r="6" ht="68" customHeight="1">
      <x:c r="A6" s="21" t="str">
        <x:v>N4</x:v>
      </x:c>
      <x:c r="B6" s="21" t="str">
        <x:v>CHAOSS — organizational diversity</x:v>
      </x:c>
      <x:c r="C6" s="21" t="str">
        <x:v>https://www.chaoss.community/kb/metric-organizational-diversity/</x:v>
      </x:c>
      <x:c r="D6" s="33" t="n">
        <x:v>46303</x:v>
      </x:c>
    </x:row>
    <x:row r="7" ht="68" customHeight="1">
      <x:c r="A7" s="21" t="str">
        <x:v>N5</x:v>
      </x:c>
      <x:c r="B7" s="21" t="str">
        <x:v>CHAOSS — funding impact</x:v>
      </x:c>
      <x:c r="C7" s="21" t="str">
        <x:v>https://www.chaoss.community/practitioner-guide-funding-impact/</x:v>
      </x:c>
      <x:c r="D7" s="33" t="n">
        <x:v>46304</x:v>
      </x:c>
    </x:row>
    <x:row r="8" ht="68" customHeight="1">
      <x:c r="A8" s="21" t="str">
        <x:v>CS1</x:v>
      </x:c>
      <x:c r="B8" s="21" t="str">
        <x:v>CodeScoring — функциональные характеристики</x:v>
      </x:c>
      <x:c r="C8" s="21" t="str">
        <x:v>https://docs.codescoring.ru/functionality/</x:v>
      </x:c>
      <x:c r="D8" s="33" t="n">
        <x:v>46308</x:v>
      </x:c>
    </x:row>
    <x:row r="9" ht="68" customHeight="1">
      <x:c r="A9" s="21" t="str">
        <x:v>CS2</x:v>
      </x:c>
      <x:c r="B9" s="21" t="str">
        <x:v>CodeScoring — результаты TQI</x:v>
      </x:c>
      <x:c r="C9" s="21" t="str">
        <x:v>https://docs.codescoring.ru/user-guide/tqi/viewing-results</x:v>
      </x:c>
      <x:c r="D9" s="33" t="n">
        <x:v>46313</x:v>
      </x:c>
    </x:row>
    <x:row r="10" ht="68" customHeight="1">
      <x:c r="A10" s="21" t="str">
        <x:v>CS3</x:v>
      </x:c>
      <x:c r="B10" s="21" t="str">
        <x:v>CodeScoring — запуск TQI</x:v>
      </x:c>
      <x:c r="C10" s="21" t="str">
        <x:v>https://docs.codescoring.ru/en/user-guide/tqi/launch-analysis</x:v>
      </x:c>
      <x:c r="D10" s="33" t="n">
        <x:v>46314</x:v>
      </x:c>
    </x:row>
    <x:row r="11" ht="68" customHeight="1">
      <x:c r="A11" s="21" t="str">
        <x:v>CS4</x:v>
      </x:c>
      <x:c r="B11" s="21" t="str">
        <x:v>CodeScoring — OSA</x:v>
      </x:c>
      <x:c r="C11" s="21" t="str">
        <x:v>https://docs.codescoring.ru/en/user-guide/osa/index</x:v>
      </x:c>
      <x:c r="D11" s="33" t="n">
        <x:v>46310</x:v>
      </x:c>
    </x:row>
    <x:row r="12" ht="68" customHeight="1">
      <x:c r="A12" s="21" t="str">
        <x:v>SN1</x:v>
      </x:c>
      <x:c r="B12" s="21" t="str">
        <x:v>Snyk Open Source</x:v>
      </x:c>
      <x:c r="C12" s="21" t="str">
        <x:v>https://docs.snyk.io/scan-fix-and-prevent/scan-with-snyk/snyk-open-source</x:v>
      </x:c>
      <x:c r="D12" s="33" t="n">
        <x:v>46313</x:v>
      </x:c>
    </x:row>
    <x:row r="13" ht="68" customHeight="1">
      <x:c r="A13" s="21" t="str">
        <x:v>SO1</x:v>
      </x:c>
      <x:c r="B13" s="21" t="str">
        <x:v>Sonatype Lifecycle — Analysis</x:v>
      </x:c>
      <x:c r="C13" s="21" t="str">
        <x:v>https://help.sonatype.com/en/analysis.html</x:v>
      </x:c>
      <x:c r="D13" s="33" t="n">
        <x:v>46313</x:v>
      </x:c>
    </x:row>
    <x:row r="14" ht="68" customHeight="1">
      <x:c r="A14" s="21" t="str">
        <x:v>SO2</x:v>
      </x:c>
      <x:c r="B14" s="21" t="str">
        <x:v>Sonatype — Policy Actions</x:v>
      </x:c>
      <x:c r="C14" s="21" t="str">
        <x:v>https://help.sonatype.com/en/policy-actions.html</x:v>
      </x:c>
      <x:c r="D14" s="33" t="n">
        <x:v>46309</x:v>
      </x:c>
    </x:row>
    <x:row r="15" ht="68" customHeight="1">
      <x:c r="A15" s="21" t="str">
        <x:v>SO3</x:v>
      </x:c>
      <x:c r="B15" s="21" t="str">
        <x:v>Sonatype — SCM policy evaluation</x:v>
      </x:c>
      <x:c r="C15" s="21" t="str">
        <x:v>https://help.sonatype.com/en/policy-evaluation-in-source-control-management.html</x:v>
      </x:c>
      <x:c r="D15" s="33" t="n">
        <x:v>46315</x:v>
      </x:c>
    </x:row>
    <x:row r="16" ht="68" customHeight="1">
      <x:c r="A16" s="21" t="str">
        <x:v>SK1</x:v>
      </x:c>
      <x:c r="B16" s="21" t="str">
        <x:v>Socket — Supply Chain Risk</x:v>
      </x:c>
      <x:c r="C16" s="21" t="str">
        <x:v>https://docs.socket.dev/docs/supply-chain-risk</x:v>
      </x:c>
      <x:c r="D16" s="33" t="n">
        <x:v>46308</x:v>
      </x:c>
    </x:row>
    <x:row r="17" ht="68" customHeight="1">
      <x:c r="A17" s="21" t="str">
        <x:v>SK2</x:v>
      </x:c>
      <x:c r="B17" s="21" t="str">
        <x:v>Socket — FAQ</x:v>
      </x:c>
      <x:c r="C17" s="21" t="str">
        <x:v>https://docs.socket.dev/docs/faq</x:v>
      </x:c>
      <x:c r="D17" s="33" t="n">
        <x:v>46312</x:v>
      </x:c>
    </x:row>
    <x:row r="18" ht="68" customHeight="1">
      <x:c r="A18" s="21" t="str">
        <x:v>SK3</x:v>
      </x:c>
      <x:c r="B18" s="21" t="str">
        <x:v>Socket — GitHub integration</x:v>
      </x:c>
      <x:c r="C18" s="21" t="str">
        <x:v>https://docs.socket.dev/docs/socket-for-github</x:v>
      </x:c>
      <x:c r="D18" s="33" t="n">
        <x:v>46313</x:v>
      </x:c>
    </x:row>
    <x:row r="19" ht="68" customHeight="1">
      <x:c r="A19" s="21" t="str">
        <x:v>DT1</x:v>
      </x:c>
      <x:c r="B19" s="21" t="str">
        <x:v>Dependency-Track — Introduction</x:v>
      </x:c>
      <x:c r="C19" s="21" t="str">
        <x:v>https://docs.dependencytrack.org/</x:v>
      </x:c>
      <x:c r="D19" s="33" t="n">
        <x:v>46311</x:v>
      </x:c>
    </x:row>
    <x:row r="20" ht="68" customHeight="1">
      <x:c r="A20" s="21" t="str">
        <x:v>DT2</x:v>
      </x:c>
      <x:c r="B20" s="21" t="str">
        <x:v>Dependency-Track — Policy Compliance</x:v>
      </x:c>
      <x:c r="C20" s="21" t="str">
        <x:v>https://docs.dependencytrack.org/usage/policy-compliance/</x:v>
      </x:c>
      <x:c r="D20" s="33" t="n">
        <x:v>46314</x:v>
      </x:c>
    </x:row>
    <x:row r="21" ht="68" customHeight="1">
      <x:c r="A21" s="21" t="str">
        <x:v>DT3</x:v>
      </x:c>
      <x:c r="B21" s="21" t="str">
        <x:v>Dependency-Track — CI/CD</x:v>
      </x:c>
      <x:c r="C21" s="21" t="str">
        <x:v>https://docs.dependencytrack.org/usage/cicd/</x:v>
      </x:c>
      <x:c r="D21" s="33" t="n">
        <x:v>46315</x:v>
      </x:c>
    </x:row>
    <x:row r="22" ht="68" customHeight="1">
      <x:c r="A22" s="21" t="str">
        <x:v>GH1</x:v>
      </x:c>
      <x:c r="B22" s="21" t="str">
        <x:v>GitHub — CodeQL</x:v>
      </x:c>
      <x:c r="C22" s="21" t="str">
        <x:v>https://docs.github.com/en/code-security/code-scanning/introduction-to-code-scanning/about-code-scanning-with-codeql</x:v>
      </x:c>
      <x:c r="D22" s="33" t="n">
        <x:v>46310</x:v>
      </x:c>
    </x:row>
    <x:row r="23" ht="68" customHeight="1">
      <x:c r="A23" s="21" t="str">
        <x:v>SC1</x:v>
      </x:c>
      <x:c r="B23" s="21" t="str">
        <x:v>OpenSSF Scorecard — README</x:v>
      </x:c>
      <x:c r="C23" s="21" t="str">
        <x:v>https://raw.githubusercontent.com/ossf/scorecard/main/README.md</x:v>
      </x:c>
      <x:c r="D23" s="33" t="n">
        <x:v>46309</x:v>
      </x:c>
    </x:row>
    <x:row r="24" ht="68" customHeight="1">
      <x:c r="A24" s="21" t="str">
        <x:v>SC2</x:v>
      </x:c>
      <x:c r="B24" s="21" t="str">
        <x:v>OpenSSF Scorecard — checks</x:v>
      </x:c>
      <x:c r="C24" s="21" t="str">
        <x:v>https://raw.githubusercontent.com/ossf/scorecard/main/docs/checks.md</x:v>
      </x:c>
      <x:c r="D24" s="33" t="n">
        <x:v>46314</x:v>
      </x:c>
    </x:row>
    <x:row r="25" ht="68" customHeight="1">
      <x:c r="A25" s="21" t="str">
        <x:v>SK5</x:v>
      </x:c>
      <x:c r="B25" s="21" t="str">
        <x:v>Socket — vulnerabilities</x:v>
      </x:c>
      <x:c r="C25" s="21" t="str">
        <x:v>https://docs.socket.dev/docs/vulnerability</x:v>
      </x:c>
      <x:c r="D25" s="33" t="n">
        <x:v>46315</x:v>
      </x:c>
    </x:row>
    <x:row r="26" ht="68" customHeight="1">
      <x:c r="A26" s="21" t="str">
        <x:v>SK6</x:v>
      </x:c>
      <x:c r="B26" s="21" t="str">
        <x:v>Socket — remediation</x:v>
      </x:c>
      <x:c r="C26" s="21" t="str">
        <x:v>https://docs.socket.dev/docs/socket-fix</x:v>
      </x:c>
      <x:c r="D26" s="33" t="n">
        <x:v>46315</x:v>
      </x:c>
    </x:row>
    <x:row r="27" ht="68" customHeight="1">
      <x:c r="A27" s="21" t="str">
        <x:v>SN3</x:v>
      </x:c>
      <x:c r="B27" s="21" t="str">
        <x:v>Snyk — scanning libraries and licenses</x:v>
      </x:c>
      <x:c r="C27" s="21" t="str">
        <x:v>https://docs.snyk.io/scan-fix-and-prevent/scan-with-snyk/snyk-open-source/scan-open-source-libraries-and-licenses</x:v>
      </x:c>
      <x:c r="D27" s="33" t="n">
        <x:v>46314</x:v>
      </x:c>
    </x:row>
    <x:row r="28" ht="68" customHeight="1">
      <x:c r="A28" s="21" t="str">
        <x:v>GH5</x:v>
      </x:c>
      <x:c r="B28" s="21" t="str">
        <x:v>GitHub. Dependabot alerts</x:v>
      </x:c>
      <x:c r="C28" s="21" t="str">
        <x:v>https://docs.github.com/en/code-security/concepts/supply-chain-security/dependabot-alerts</x:v>
      </x:c>
      <x:c r="D28" s="33" t="n">
        <x:v>46314</x:v>
      </x:c>
    </x:row>
    <x:row r="29" ht="68" customHeight="1">
      <x:c r="A29" s="21" t="str">
        <x:v>GH6</x:v>
      </x:c>
      <x:c r="B29" s="21" t="str">
        <x:v>GitHub. Dependabot malware alerts</x:v>
      </x:c>
      <x:c r="C29" s="21" t="str">
        <x:v>https://docs.github.com/en/code-security/concepts/supply-chain-security/malware-alerts</x:v>
      </x:c>
      <x:c r="D29" s="33" t="n">
        <x:v>46314</x:v>
      </x:c>
    </x:row>
    <x:row r="30" ht="68" customHeight="1">
      <x:c r="A30" s="21" t="str">
        <x:v>GH7</x:v>
      </x:c>
      <x:c r="B30" s="21" t="str">
        <x:v>GitHub. Dependabot security updates</x:v>
      </x:c>
      <x:c r="C30" s="21" t="str">
        <x:v>https://docs.github.com/en/code-security/concepts/supply-chain-security/dependabot-security-updates</x:v>
      </x:c>
      <x:c r="D30" s="33" t="n">
        <x:v>46315</x:v>
      </x:c>
    </x:row>
    <x:row r="31" ht="68" customHeight="1">
      <x:c r="A31" s="21" t="str">
        <x:v>GH8</x:v>
      </x:c>
      <x:c r="B31" s="21" t="str">
        <x:v>GitHub. Code scanning alerts</x:v>
      </x:c>
      <x:c r="C31" s="21" t="str">
        <x:v>https://docs.github.com/en/code-security/concepts/code-scanning/code-scanning-alerts</x:v>
      </x:c>
      <x:c r="D31" s="33" t="n">
        <x:v>46315</x:v>
      </x:c>
    </x:row>
    <x:row r="32" ht="68" customHeight="1">
      <x:c r="A32" s="32" t="str">
        <x:v>SN4</x:v>
      </x:c>
      <x:c r="B32" s="32" t="str">
        <x:v>Snyk. Malicious packages</x:v>
      </x:c>
      <x:c r="C32" s="32" t="str">
        <x:v>https://docs.snyk.io/scan-fix-and-prevent/fix/prioritize-issues-for-fixing/malicious-packages</x:v>
      </x:c>
      <x:c r="D32" s="33" t="n">
        <x:v>46315</x:v>
      </x:c>
    </x:row>
    <x:row r="33" ht="68" customHeight="1">
      <x:c r="A33" s="32" t="str">
        <x:v>SO4</x:v>
      </x:c>
      <x:c r="B33" s="32" t="str">
        <x:v>Sonatype. Security Policies</x:v>
      </x:c>
      <x:c r="C33" s="32" t="str">
        <x:v>https://help.sonatype.com/en/security-policies.html</x:v>
      </x:c>
      <x:c r="D33" s="33" t="n">
        <x:v>46315</x:v>
      </x:c>
    </x:row>
    <x:row r="34" ht="68" customHeight="1">
      <x:c r="A34" s="32" t="str">
        <x:v>DT4</x:v>
      </x:c>
      <x:c r="B34" s="32" t="str">
        <x:v>Dependency-Track. Release v4.6.0: New Policy Conditions</x:v>
      </x:c>
      <x:c r="C34" s="32" t="str">
        <x:v>https://docs.dependencytrack.org/2022/10/11/v4.6.0/</x:v>
      </x:c>
      <x:c r="D34" s="33" t="n">
        <x:v>46315</x:v>
      </x:c>
    </x:row>
    <x:row r="35" ht="68" customHeight="1">
      <x:c r="A35" s="32" t="str">
        <x:v>DT5</x:v>
      </x:c>
      <x:c r="B35" s="32" t="str">
        <x:v>Dependency-Track. File Formats: Finding Packaging Format</x:v>
      </x:c>
      <x:c r="C35" s="32" t="str">
        <x:v>https://docs.dependencytrack.org/integrations/file-formats/</x:v>
      </x:c>
      <x:c r="D35" s="33" t="n">
        <x:v>46314</x:v>
      </x:c>
    </x:row>
    <x:row r="36" ht="68" customHeight="1">
      <x:c r="A36" s="32" t="str">
        <x:v>CS5</x:v>
      </x:c>
      <x:c r="B36" s="32" t="str">
        <x:v>CodeScoring. Построение профилей авторов</x:v>
      </x:c>
      <x:c r="C36" s="32" t="str">
        <x:v>https://docs.codescoring.ru/user-guide/tqi/authors</x:v>
      </x:c>
      <x:c r="D36" s="33" t="n">
        <x:v>46314</x:v>
      </x:c>
    </x:row>
    <x:row r="37" ht="68" customHeight="1">
      <x:c r="A37" s="32" t="str">
        <x:v>CS6</x:v>
      </x:c>
      <x:c r="B37" s="32" t="str">
        <x:v>CodeScoring. Расчет метрик технического долга</x:v>
      </x:c>
      <x:c r="C37" s="32" t="str">
        <x:v>https://docs.codescoring.ru/user-guide/tqi/metrics</x:v>
      </x:c>
      <x:c r="D37" s="33" t="n">
        <x:v>46315</x:v>
      </x:c>
    </x:row>
    <x:row r="38" ht="68" customHeight="1">
      <x:c r="A38" s="32" t="str">
        <x:v>SN5</x:v>
      </x:c>
      <x:c r="B38" s="32" t="str">
        <x:v>Snyk. View dependencies</x:v>
      </x:c>
      <x:c r="C38" s="32" t="str">
        <x:v>https://docs.snyk.io/scan-fix-and-prevent/prevent/dependencies-and-licenses/view-dependencies</x:v>
      </x:c>
      <x:c r="D38" s="33" t="n">
        <x:v>46314</x:v>
      </x:c>
    </x:row>
    <x:row r="39" ht="68" customHeight="1">
      <x:c r="A39" s="32" t="str">
        <x:v>SO5</x:v>
      </x:c>
      <x:c r="B39" s="32" t="str">
        <x:v>Sonatype. Source Control REST API</x:v>
      </x:c>
      <x:c r="C39" s="32" t="str">
        <x:v>https://help.sonatype.com/en/source-control-rest-api.html</x:v>
      </x:c>
      <x:c r="D39" s="33" t="n">
        <x:v>46315</x:v>
      </x:c>
    </x:row>
    <x:row r="40" ht="88" customHeight="1">
      <x:c r="A40" s="32" t="str">
        <x:v>RS1</x:v>
      </x:c>
      <x:c r="B40" s="32" t="str">
        <x:v>Zimmermann M., Staicu C.-A., Tenny C., Pradel M. Small World with High Risks: A Study of Security Threats in the npm Ecosystem. USENIX Security, 2019. P. 995–1010</x:v>
      </x:c>
      <x:c r="C40" s="32" t="str">
        <x:v>https://www.usenix.org/system/files/sec19-zimmermann.pdf</x:v>
      </x:c>
      <x:c r="D40" s="33" t="n">
        <x:v>46304</x:v>
      </x:c>
    </x:row>
    <x:row r="41" ht="88" customHeight="1">
      <x:c r="A41" s="32" t="str">
        <x:v>RS2</x:v>
      </x:c>
      <x:c r="B41" s="32" t="str">
        <x:v>Ohm M., Plate H., Sykosch A., Meier M. Backstabber’s Knife Collection: A Review of Open Source Software Supply Chain Attacks. DIMVA, 2020. Preprint arXiv:2005.09535v1</x:v>
      </x:c>
      <x:c r="C41" s="32" t="str">
        <x:v>https://arxiv.org/abs/2005.09535v1</x:v>
      </x:c>
      <x:c r="D41" s="33" t="n">
        <x:v>46306</x:v>
      </x:c>
    </x:row>
    <x:row r="42" ht="88" customHeight="1">
      <x:c r="A42" s="32" t="str">
        <x:v>RS3</x:v>
      </x:c>
      <x:c r="B42" s="32" t="str">
        <x:v>Zahan N., Kanakiya P., Hambleton B., Shohan S., Williams L. OpenSSF Scorecard: On the Path Toward Ecosystem-wide Automated Security Metrics. 2023. arXiv:2208.03412v4. DOI: 10.1109/MSEC.2023.3279773</x:v>
      </x:c>
      <x:c r="C42" s="32" t="str">
        <x:v>https://arxiv.org/html/2208.03412v4</x:v>
      </x:c>
      <x:c r="D42" s="33" t="n">
        <x:v>46304</x:v>
      </x:c>
    </x:row>
    <x:row r="43" ht="88" customHeight="1">
      <x:c r="A43" s="32" t="str">
        <x:v>RS4</x:v>
      </x:c>
      <x:c r="B43" s="32" t="str">
        <x:v>Zahan N., Shohan S., Harris D., Williams L. Do Software Security Practices Yield Fewer Vulnerabilities? 2023. arXiv:2210.14884v2</x:v>
      </x:c>
      <x:c r="C43" s="32" t="str">
        <x:v>https://arxiv.org/html/2210.14884v2</x:v>
      </x:c>
      <x:c r="D43" s="33" t="n">
        <x:v>46306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.670000076293945" hidden="0" customWidth="1"/>
    <x:col min="2" max="2" width="23.329999923706055" hidden="0" customWidth="1"/>
    <x:col min="3" max="3" width="30" hidden="0" customWidth="1"/>
    <x:col min="4" max="4" width="30" hidden="0" customWidth="1"/>
    <x:col min="5" max="5" width="34.439998626708984" hidden="0" customWidth="1"/>
    <x:col min="6" max="6" width="31.110000610351562" hidden="0" customWidth="1"/>
    <x:col min="7" max="7" width="35.560001373291016" hidden="0" customWidth="1"/>
    <x:col min="8" max="8" width="10" hidden="0" customWidth="1"/>
    <x:col min="9" max="9" width="21.110000610351562" hidden="0" customWidth="1"/>
  </x:cols>
  <x:sheetData>
    <x:row r="1" ht="42" customHeight="1">
      <x:c r="A1" s="43" t="str">
        <x:v>Код</x:v>
      </x:c>
      <x:c r="B1" s="43" t="str">
        <x:v>Публикация</x:v>
      </x:c>
      <x:c r="C1" s="43" t="str">
        <x:v>Метод</x:v>
      </x:c>
      <x:c r="D1" s="43" t="str">
        <x:v>Данные</x:v>
      </x:c>
      <x:c r="E1" s="43" t="str">
        <x:v>Результат авторов</x:v>
      </x:c>
      <x:c r="F1" s="43" t="str">
        <x:v>Ограничения</x:v>
      </x:c>
      <x:c r="G1" s="43" t="str">
        <x:v>Применение в ВКР</x:v>
      </x:c>
      <x:c r="H1" s="43" t="str">
        <x:v>Источник</x:v>
      </x:c>
      <x:c r="I1" s="43" t="str">
        <x:v>Раздел источника</x:v>
      </x:c>
    </x:row>
    <x:row r="2" ht="104" customHeight="1">
      <x:c r="A2" s="40" t="str">
        <x:v>R1</x:v>
      </x:c>
      <x:c r="B2" s="40" t="str">
        <x:v>Zimmermann и соавт., 2019</x:v>
      </x:c>
      <x:c r="C2" s="40" t="str">
        <x:v>Граф зависимостей, пакетов и сопровождающих; оценка потенциального охвата компрометации.</x:v>
      </x:c>
      <x:c r="D2" s="40" t="str">
        <x:v>История npm до апреля 2018 года; 5 386 239 выпусков.</x:v>
      </x:c>
      <x:c r="E2" s="40" t="str">
        <x:v>Зависимости создают косвенное доверие к сопровождающим; небольшой набор учётных записей имеет большой потенциальный охват.</x:v>
      </x:c>
      <x:c r="F2" s="40" t="str">
        <x:v>Структурный потенциал атаки не равен её вероятности. Срез npm не представляет все экосистемы.</x:v>
      </x:c>
      <x:c r="G2" s="40" t="str">
        <x:v>Учитывать транзитивные зависимости и различать автора изменения и участника с правом публикации. C01, C06, C07.</x:v>
      </x:c>
      <x:c r="H2" s="40" t="str">
        <x:v>RS1</x:v>
      </x:c>
      <x:c r="I2" s="40" t="str">
        <x:v>Разделы 3.1, 4.2.2–4.2.3</x:v>
      </x:c>
    </x:row>
    <x:row r="3" ht="104" customHeight="1">
      <x:c r="A3" s="40" t="str">
        <x:v>R2</x:v>
      </x:c>
      <x:c r="B3" s="40" t="str">
        <x:v>Ohm и соавт., 2020</x:v>
      </x:c>
      <x:c r="C3" s="40" t="str">
        <x:v>Ручной анализ известных вредоносных пакетов и построение деревьев атак.</x:v>
      </x:c>
      <x:c r="D3" s="40" t="str">
        <x:v>174 пакета npm, PyPI и RubyGems; ноябрь 2015 — ноябрь 2019 года.</x:v>
      </x:c>
      <x:c r="E3" s="40" t="str">
        <x:v>Структурированы пути внедрения и условия исполнения вредоносного кода.</x:v>
      </x:c>
      <x:c r="F3" s="40" t="str">
        <x:v>Выборка известных случаев не измеряет распространённость атак и полноту обнаружения.</x:v>
      </x:c>
      <x:c r="G3" s="40" t="str">
        <x:v>Разделять известную уязвимость и намеренно вредоносный компонент; проверять сведения о выпуске. C02, C03, C09.</x:v>
      </x:c>
      <x:c r="H3" s="40" t="str">
        <x:v>RS2</x:v>
      </x:c>
      <x:c r="I3" s="40" t="str">
        <x:v>Аннотация; описание набора и деревьев атак</x:v>
      </x:c>
    </x:row>
    <x:row r="4" ht="104" customHeight="1">
      <x:c r="A4" s="40" t="str">
        <x:v>R3</x:v>
      </x:c>
      <x:c r="B4" s="40" t="str">
        <x:v>Zahan и соавт., Scorecard, 2023</x:v>
      </x:c>
      <x:c r="C4" s="40" t="str">
        <x:v>Массовое применение Scorecard и ручная проверка интерпретации отдельных метрик.</x:v>
      </x:c>
      <x:c r="D4" s="40" t="str">
        <x:v>npm и PyPI; по 25 репозиториев каждой экосистемы на каждую из 15 проверок для ручного анализа.</x:v>
      </x:c>
      <x:c r="E4" s="40" t="str">
        <x:v>Интерпретация результата зависит от поддерживаемых механизмов; нестандартный способ обновления зависимостей может не учитываться проверкой.</x:v>
      </x:c>
      <x:c r="F4" s="40" t="str">
        <x:v>Результаты относятся к изученной версии Scorecard и выбранным экосистемам; это не аудит всех процессов.</x:v>
      </x:c>
      <x:c r="G4" s="40" t="str">
        <x:v>Сохранять исходное объяснение проверки и причины отсутствия сведений. C05, C10; учёт неполноты данных.</x:v>
      </x:c>
      <x:c r="H4" s="40" t="str">
        <x:v>RS3</x:v>
      </x:c>
      <x:c r="I4" s="40" t="str">
        <x:v>IV-C; V-10 Dependency-Update-Tool; VII</x:v>
      </x:c>
    </x:row>
    <x:row r="5" ht="104" customHeight="1">
      <x:c r="A5" s="40" t="str">
        <x:v>R4</x:v>
      </x:c>
      <x:c r="B5" s="40" t="str">
        <x:v>Zahan и соавт., Security Practices, 2023</x:v>
      </x:c>
      <x:c r="C5" s="40" t="str">
        <x:v>Регрессионное моделирование связи показателей практик с числом опубликованных уязвимостей.</x:v>
      </x:c>
      <x:c r="D5" s="40" t="str">
        <x:v>Показатели Scorecard и сведения об уязвимостях пакетов npm и PyPI.</x:v>
      </x:c>
      <x:c r="E5" s="40" t="str">
        <x:v>В исследованных моделях R² составлял 0,09–0,12; агрегированный показатель не обеспечивал надёжного прогноза числа уязвимостей.</x:v>
      </x:c>
      <x:c r="F5" s="40" t="str">
        <x:v>Опубликованные уязвимости зависят и от обнаружения/раскрытия; связь не доказывает причинность.</x:v>
      </x:c>
      <x:c r="G5" s="40" t="str">
        <x:v>Не трактовать общий балл как вероятность безопасности; отдельно показывать прямые находки и неопределённость.</x:v>
      </x:c>
      <x:c r="H5" s="40" t="str">
        <x:v>RS4</x:v>
      </x:c>
      <x:c r="I5" s="40" t="str">
        <x:v>Аннотация; таблица III; разделы VI–VIII</x:v>
      </x:c>
    </x:row>
  </x:sheetData>
  <x:pageMargins left="0.7" right="0.7" top="0.75" bottom="0.75" header="0.3" footer="0.3"/>
</x:worksheet>
</file>